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管道预测论文\一审修改\TB model\"/>
    </mc:Choice>
  </mc:AlternateContent>
  <xr:revisionPtr revIDLastSave="0" documentId="13_ncr:1_{9388D7A2-D6E4-4DBD-B769-C91F463CF703}" xr6:coauthVersionLast="47" xr6:coauthVersionMax="47" xr10:uidLastSave="{00000000-0000-0000-0000-000000000000}"/>
  <bookViews>
    <workbookView xWindow="11895" yWindow="5385" windowWidth="25815" windowHeight="15495" xr2:uid="{E9CAAB65-6BF4-4B46-9AA1-A0A8929FF70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  <c r="A181" i="1" l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<sst xmlns="http://schemas.openxmlformats.org/spreadsheetml/2006/main" count="9" uniqueCount="9">
  <si>
    <t>D1(mm)</t>
  </si>
  <si>
    <t>t(mm)</t>
  </si>
  <si>
    <t>a (mm)</t>
  </si>
  <si>
    <t>YS(Mpa)</t>
  </si>
  <si>
    <t>UTS(Mpa)</t>
  </si>
  <si>
    <t>Cv(J)</t>
  </si>
  <si>
    <t>Pc(Mpa)</t>
  </si>
  <si>
    <t>2c’</t>
    <phoneticPr fontId="3" type="noConversion"/>
  </si>
  <si>
    <t>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</si>
</sst>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_);[Red]\(0.0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2" fillId="2" borderId="0" xfId="0" applyNumberFormat="1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/>
    <xf numFmtId="177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0" fillId="3" borderId="0" xfId="0" applyFill="1">
      <alignment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38598;&#21512;&#30340;&#25968;&#25454;/Englishi_database&#26368;&#32456;&#30830;&#23450;&#303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【1】"/>
      <sheetName val="【2】"/>
      <sheetName val="【3-5】"/>
      <sheetName val="【6-7】"/>
      <sheetName val="【9】"/>
      <sheetName val="【8-1】"/>
      <sheetName val="【10-11】"/>
      <sheetName val="【12 】"/>
      <sheetName val="【13 】"/>
      <sheetName val="【14】"/>
      <sheetName val="【15.1】"/>
      <sheetName val="【15.2】"/>
      <sheetName val="Sheet1"/>
      <sheetName val="单位换算"/>
    </sheetNames>
    <sheetDataSet>
      <sheetData sheetId="0">
        <row r="2">
          <cell r="B2">
            <v>762</v>
          </cell>
        </row>
        <row r="4">
          <cell r="B4">
            <v>762</v>
          </cell>
          <cell r="C4">
            <v>9.9567999999999994</v>
          </cell>
          <cell r="D4">
            <v>9.1693999999999996</v>
          </cell>
          <cell r="E4">
            <v>224.02799999999999</v>
          </cell>
          <cell r="F4">
            <v>420.59500000000003</v>
          </cell>
          <cell r="G4">
            <v>563.32150000000001</v>
          </cell>
        </row>
        <row r="5">
          <cell r="B5">
            <v>762</v>
          </cell>
          <cell r="C5">
            <v>9.5757999999999992</v>
          </cell>
          <cell r="D5">
            <v>7.7469999999999999</v>
          </cell>
          <cell r="E5">
            <v>224.02799999999999</v>
          </cell>
          <cell r="F5">
            <v>417.83699999999999</v>
          </cell>
          <cell r="G5">
            <v>560.56349999999998</v>
          </cell>
        </row>
        <row r="11">
          <cell r="B11">
            <v>762</v>
          </cell>
          <cell r="C11">
            <v>9.8805999999999994</v>
          </cell>
          <cell r="D11">
            <v>8.1026000000000007</v>
          </cell>
          <cell r="E11">
            <v>370.84</v>
          </cell>
          <cell r="F11">
            <v>439.90100000000001</v>
          </cell>
          <cell r="G11">
            <v>553.66849999999999</v>
          </cell>
        </row>
        <row r="21">
          <cell r="B21">
            <v>914.4</v>
          </cell>
          <cell r="C21">
            <v>9.7281999999999993</v>
          </cell>
          <cell r="D21">
            <v>5.08</v>
          </cell>
          <cell r="E21">
            <v>228.6</v>
          </cell>
          <cell r="F21">
            <v>474.37599999999998</v>
          </cell>
          <cell r="G21">
            <v>604.00199999999995</v>
          </cell>
        </row>
        <row r="22">
          <cell r="B22">
            <v>914.4</v>
          </cell>
          <cell r="C22">
            <v>9.9822000000000006</v>
          </cell>
          <cell r="D22">
            <v>7.62</v>
          </cell>
          <cell r="E22">
            <v>213.36</v>
          </cell>
          <cell r="F22">
            <v>449.55399999999997</v>
          </cell>
          <cell r="G22">
            <v>609.51800000000003</v>
          </cell>
        </row>
        <row r="27">
          <cell r="B27">
            <v>863.6</v>
          </cell>
          <cell r="C27">
            <v>12.928599999999999</v>
          </cell>
          <cell r="D27">
            <v>11.226800000000001</v>
          </cell>
          <cell r="E27">
            <v>609.6</v>
          </cell>
          <cell r="F27">
            <v>465.41250000000002</v>
          </cell>
          <cell r="G27">
            <v>613.65499999999997</v>
          </cell>
        </row>
        <row r="28">
          <cell r="B28">
            <v>863.6</v>
          </cell>
          <cell r="C28">
            <v>12.928599999999999</v>
          </cell>
          <cell r="D28">
            <v>10.6934</v>
          </cell>
          <cell r="E28">
            <v>609.6</v>
          </cell>
          <cell r="F28">
            <v>465.41250000000002</v>
          </cell>
          <cell r="G28">
            <v>613.65499999999997</v>
          </cell>
        </row>
        <row r="32">
          <cell r="B32">
            <v>914.4</v>
          </cell>
          <cell r="C32">
            <v>9.8298000000000005</v>
          </cell>
          <cell r="D32">
            <v>6.8579999999999997</v>
          </cell>
          <cell r="E32">
            <v>152.4</v>
          </cell>
          <cell r="F32">
            <v>484.71850000000001</v>
          </cell>
          <cell r="G32">
            <v>610.20749999999998</v>
          </cell>
        </row>
      </sheetData>
      <sheetData sheetId="1">
        <row r="2">
          <cell r="B2">
            <v>508</v>
          </cell>
        </row>
      </sheetData>
      <sheetData sheetId="2">
        <row r="2">
          <cell r="B2">
            <v>508</v>
          </cell>
        </row>
      </sheetData>
      <sheetData sheetId="3">
        <row r="2">
          <cell r="B2">
            <v>1422.4</v>
          </cell>
        </row>
      </sheetData>
      <sheetData sheetId="4">
        <row r="2">
          <cell r="B2">
            <v>88.9</v>
          </cell>
        </row>
        <row r="15">
          <cell r="B15">
            <v>711.2</v>
          </cell>
          <cell r="C15">
            <v>8.1999999999999993</v>
          </cell>
          <cell r="D15">
            <v>7.8</v>
          </cell>
          <cell r="E15">
            <v>205</v>
          </cell>
          <cell r="F15">
            <v>543</v>
          </cell>
          <cell r="G15">
            <v>695</v>
          </cell>
        </row>
        <row r="16">
          <cell r="B16">
            <v>711.2</v>
          </cell>
          <cell r="C16">
            <v>8.1999999999999993</v>
          </cell>
          <cell r="D16">
            <v>7.5</v>
          </cell>
          <cell r="E16">
            <v>210</v>
          </cell>
          <cell r="F16">
            <v>543</v>
          </cell>
          <cell r="G16">
            <v>695</v>
          </cell>
        </row>
        <row r="17">
          <cell r="B17">
            <v>711.2</v>
          </cell>
          <cell r="C17">
            <v>8.1999999999999993</v>
          </cell>
          <cell r="D17">
            <v>7.14</v>
          </cell>
          <cell r="E17">
            <v>200</v>
          </cell>
          <cell r="F17">
            <v>543</v>
          </cell>
          <cell r="G17">
            <v>695</v>
          </cell>
        </row>
        <row r="18">
          <cell r="B18">
            <v>711.2</v>
          </cell>
          <cell r="C18">
            <v>8.1999999999999993</v>
          </cell>
          <cell r="D18">
            <v>6.2</v>
          </cell>
          <cell r="E18">
            <v>250</v>
          </cell>
          <cell r="F18">
            <v>543</v>
          </cell>
          <cell r="G18">
            <v>695</v>
          </cell>
        </row>
      </sheetData>
      <sheetData sheetId="5">
        <row r="2">
          <cell r="B2">
            <v>236.982</v>
          </cell>
        </row>
      </sheetData>
      <sheetData sheetId="6">
        <row r="2">
          <cell r="B2">
            <v>564.79999999999995</v>
          </cell>
        </row>
      </sheetData>
      <sheetData sheetId="7">
        <row r="2">
          <cell r="B2">
            <v>1580</v>
          </cell>
        </row>
      </sheetData>
      <sheetData sheetId="8">
        <row r="2">
          <cell r="B2">
            <v>377</v>
          </cell>
        </row>
      </sheetData>
      <sheetData sheetId="9">
        <row r="2">
          <cell r="B2">
            <v>228.6</v>
          </cell>
        </row>
      </sheetData>
      <sheetData sheetId="10">
        <row r="2">
          <cell r="B2">
            <v>236</v>
          </cell>
        </row>
      </sheetData>
      <sheetData sheetId="11">
        <row r="2">
          <cell r="B2">
            <v>229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0F60-5D21-4315-9EDE-D5614E69A913}">
  <dimension ref="A1:J182"/>
  <sheetViews>
    <sheetView tabSelected="1" workbookViewId="0">
      <selection activeCell="L8" sqref="L8"/>
    </sheetView>
  </sheetViews>
  <sheetFormatPr defaultRowHeight="14.25" x14ac:dyDescent="0.2"/>
  <cols>
    <col min="5" max="5" width="12.375" bestFit="1" customWidth="1"/>
  </cols>
  <sheetData>
    <row r="1" spans="1:10" s="1" customFormat="1" x14ac:dyDescent="0.2">
      <c r="B1" s="2" t="s">
        <v>0</v>
      </c>
      <c r="C1" s="3" t="s">
        <v>1</v>
      </c>
      <c r="D1" s="3" t="s">
        <v>2</v>
      </c>
      <c r="E1" s="4" t="s">
        <v>7</v>
      </c>
      <c r="F1" s="3" t="s">
        <v>3</v>
      </c>
      <c r="G1" s="3" t="s">
        <v>4</v>
      </c>
      <c r="H1" s="4" t="s">
        <v>5</v>
      </c>
      <c r="I1" s="4" t="s">
        <v>8</v>
      </c>
      <c r="J1" s="5" t="s">
        <v>6</v>
      </c>
    </row>
    <row r="2" spans="1:10" x14ac:dyDescent="0.2">
      <c r="A2" s="1">
        <f>ROW()-1</f>
        <v>1</v>
      </c>
      <c r="B2" s="6">
        <f>[1]【1】!B27</f>
        <v>863.6</v>
      </c>
      <c r="C2" s="7">
        <f>[1]【1】!C27</f>
        <v>12.928599999999999</v>
      </c>
      <c r="D2" s="7">
        <f>[1]【1】!D27</f>
        <v>11.226800000000001</v>
      </c>
      <c r="E2" s="7">
        <f>[1]【1】!E27</f>
        <v>609.6</v>
      </c>
      <c r="F2" s="7">
        <f>[1]【1】!F27</f>
        <v>465.41250000000002</v>
      </c>
      <c r="G2" s="7">
        <f>[1]【1】!G27</f>
        <v>613.65499999999997</v>
      </c>
      <c r="H2" s="7">
        <v>17.628</v>
      </c>
      <c r="I2" s="10">
        <v>207000</v>
      </c>
      <c r="J2" s="9">
        <v>1.89406582378267</v>
      </c>
    </row>
    <row r="3" spans="1:10" x14ac:dyDescent="0.2">
      <c r="A3" s="1">
        <f t="shared" ref="A3:A66" si="0">ROW()-1</f>
        <v>2</v>
      </c>
      <c r="B3" s="6">
        <f>[1]【1】!B4</f>
        <v>762</v>
      </c>
      <c r="C3" s="7">
        <f>[1]【1】!C4</f>
        <v>9.9567999999999994</v>
      </c>
      <c r="D3" s="7">
        <f>[1]【1】!D4</f>
        <v>9.1693999999999996</v>
      </c>
      <c r="E3" s="7">
        <f>[1]【1】!E4</f>
        <v>224.02799999999999</v>
      </c>
      <c r="F3" s="7">
        <f>[1]【1】!F4</f>
        <v>420.59500000000003</v>
      </c>
      <c r="G3" s="7">
        <f>[1]【1】!G4</f>
        <v>563.32150000000001</v>
      </c>
      <c r="H3" s="7">
        <v>40.68</v>
      </c>
      <c r="I3" s="10">
        <v>207000</v>
      </c>
      <c r="J3" s="9">
        <v>2.16478833515882</v>
      </c>
    </row>
    <row r="4" spans="1:10" x14ac:dyDescent="0.2">
      <c r="A4" s="1">
        <f t="shared" si="0"/>
        <v>3</v>
      </c>
      <c r="B4" s="6">
        <f>[1]【9】!B15</f>
        <v>711.2</v>
      </c>
      <c r="C4" s="7">
        <f>[1]【9】!C15</f>
        <v>8.1999999999999993</v>
      </c>
      <c r="D4" s="7">
        <f>[1]【9】!D15</f>
        <v>7.8</v>
      </c>
      <c r="E4" s="7">
        <f>[1]【9】!E15</f>
        <v>205</v>
      </c>
      <c r="F4" s="7">
        <f>[1]【9】!F15</f>
        <v>543</v>
      </c>
      <c r="G4" s="7">
        <f>[1]【9】!G15</f>
        <v>695</v>
      </c>
      <c r="H4" s="10">
        <v>50</v>
      </c>
      <c r="I4" s="10">
        <v>207000</v>
      </c>
      <c r="J4" s="9">
        <v>2.6</v>
      </c>
    </row>
    <row r="5" spans="1:10" x14ac:dyDescent="0.2">
      <c r="A5" s="1">
        <f t="shared" si="0"/>
        <v>4</v>
      </c>
      <c r="B5" s="6">
        <f>[1]【1】!B28</f>
        <v>863.6</v>
      </c>
      <c r="C5" s="7">
        <f>[1]【1】!C28</f>
        <v>12.928599999999999</v>
      </c>
      <c r="D5" s="7">
        <f>[1]【1】!D28</f>
        <v>10.6934</v>
      </c>
      <c r="E5" s="7">
        <f>[1]【1】!E28</f>
        <v>609.6</v>
      </c>
      <c r="F5" s="7">
        <f>[1]【1】!F28</f>
        <v>465.41250000000002</v>
      </c>
      <c r="G5" s="7">
        <f>[1]【1】!G28</f>
        <v>613.65499999999997</v>
      </c>
      <c r="H5" s="7">
        <v>17.628</v>
      </c>
      <c r="I5" s="10">
        <v>207000</v>
      </c>
      <c r="J5" s="9">
        <v>2.6389231702140599</v>
      </c>
    </row>
    <row r="6" spans="1:10" x14ac:dyDescent="0.2">
      <c r="A6" s="1">
        <f t="shared" si="0"/>
        <v>5</v>
      </c>
      <c r="B6" s="6">
        <f>[1]【1】!B11</f>
        <v>762</v>
      </c>
      <c r="C6" s="7">
        <f>[1]【1】!C11</f>
        <v>9.8805999999999994</v>
      </c>
      <c r="D6" s="7">
        <f>[1]【1】!D11</f>
        <v>8.1026000000000007</v>
      </c>
      <c r="E6" s="7">
        <f>[1]【1】!E11</f>
        <v>370.84</v>
      </c>
      <c r="F6" s="7">
        <f>[1]【1】!F11</f>
        <v>439.90100000000001</v>
      </c>
      <c r="G6" s="7">
        <f>[1]【1】!G11</f>
        <v>553.66849999999999</v>
      </c>
      <c r="H6" s="7">
        <v>40.68</v>
      </c>
      <c r="I6" s="10">
        <v>207000</v>
      </c>
      <c r="J6" s="9">
        <v>2.75356409554445</v>
      </c>
    </row>
    <row r="7" spans="1:10" x14ac:dyDescent="0.2">
      <c r="A7" s="1">
        <f t="shared" si="0"/>
        <v>6</v>
      </c>
      <c r="B7" s="6">
        <f>[1]【9】!B16</f>
        <v>711.2</v>
      </c>
      <c r="C7" s="7">
        <f>[1]【9】!C16</f>
        <v>8.1999999999999993</v>
      </c>
      <c r="D7" s="7">
        <f>[1]【9】!D16</f>
        <v>7.5</v>
      </c>
      <c r="E7" s="7">
        <f>[1]【9】!E16</f>
        <v>210</v>
      </c>
      <c r="F7" s="7">
        <f>[1]【9】!F16</f>
        <v>543</v>
      </c>
      <c r="G7" s="7">
        <f>[1]【9】!G16</f>
        <v>695</v>
      </c>
      <c r="H7" s="10">
        <v>50</v>
      </c>
      <c r="I7" s="10">
        <v>207000</v>
      </c>
      <c r="J7" s="9">
        <v>2.8</v>
      </c>
    </row>
    <row r="8" spans="1:10" x14ac:dyDescent="0.2">
      <c r="A8" s="1">
        <f t="shared" si="0"/>
        <v>7</v>
      </c>
      <c r="B8" s="6">
        <f>[1]【1】!B5</f>
        <v>762</v>
      </c>
      <c r="C8" s="7">
        <f>[1]【1】!C5</f>
        <v>9.5757999999999992</v>
      </c>
      <c r="D8" s="7">
        <f>[1]【1】!D5</f>
        <v>7.7469999999999999</v>
      </c>
      <c r="E8" s="7">
        <f>[1]【1】!E5</f>
        <v>224.02799999999999</v>
      </c>
      <c r="F8" s="7">
        <f>[1]【1】!F5</f>
        <v>417.83699999999999</v>
      </c>
      <c r="G8" s="7">
        <f>[1]【1】!G5</f>
        <v>560.56349999999998</v>
      </c>
      <c r="H8" s="7">
        <v>36.612000000000002</v>
      </c>
      <c r="I8" s="10">
        <v>207000</v>
      </c>
      <c r="J8" s="9">
        <v>4.07075179511728</v>
      </c>
    </row>
    <row r="9" spans="1:10" x14ac:dyDescent="0.2">
      <c r="A9" s="1">
        <f t="shared" si="0"/>
        <v>8</v>
      </c>
      <c r="B9" s="6">
        <f>[1]【1】!B22</f>
        <v>914.4</v>
      </c>
      <c r="C9" s="7">
        <f>[1]【1】!C22</f>
        <v>9.9822000000000006</v>
      </c>
      <c r="D9" s="7">
        <f>[1]【1】!D22</f>
        <v>7.62</v>
      </c>
      <c r="E9" s="7">
        <f>[1]【1】!E22</f>
        <v>213.36</v>
      </c>
      <c r="F9" s="7">
        <f>[1]【1】!F22</f>
        <v>449.55399999999997</v>
      </c>
      <c r="G9" s="7">
        <f>[1]【1】!G22</f>
        <v>609.51800000000003</v>
      </c>
      <c r="H9" s="7">
        <v>31.187999999999999</v>
      </c>
      <c r="I9" s="10">
        <v>207000</v>
      </c>
      <c r="J9" s="9">
        <v>4.3707885500085197</v>
      </c>
    </row>
    <row r="10" spans="1:10" x14ac:dyDescent="0.2">
      <c r="A10" s="1">
        <f t="shared" si="0"/>
        <v>9</v>
      </c>
      <c r="B10" s="6">
        <f>[1]【9】!B17</f>
        <v>711.2</v>
      </c>
      <c r="C10" s="7">
        <f>[1]【9】!C17</f>
        <v>8.1999999999999993</v>
      </c>
      <c r="D10" s="7">
        <f>[1]【9】!D17</f>
        <v>7.14</v>
      </c>
      <c r="E10" s="7">
        <f>[1]【9】!E17</f>
        <v>200</v>
      </c>
      <c r="F10" s="7">
        <f>[1]【9】!F17</f>
        <v>543</v>
      </c>
      <c r="G10" s="7">
        <f>[1]【9】!G17</f>
        <v>695</v>
      </c>
      <c r="H10" s="10">
        <v>50</v>
      </c>
      <c r="I10" s="10">
        <v>207000</v>
      </c>
      <c r="J10" s="9">
        <v>4.5999999999999996</v>
      </c>
    </row>
    <row r="11" spans="1:10" x14ac:dyDescent="0.2">
      <c r="A11" s="1">
        <f t="shared" si="0"/>
        <v>10</v>
      </c>
      <c r="B11" s="6">
        <f>[1]【1】!B21</f>
        <v>914.4</v>
      </c>
      <c r="C11" s="7">
        <f>[1]【1】!C21</f>
        <v>9.7281999999999993</v>
      </c>
      <c r="D11" s="7">
        <f>[1]【1】!D21</f>
        <v>5.08</v>
      </c>
      <c r="E11" s="7">
        <f>[1]【1】!E21</f>
        <v>228.6</v>
      </c>
      <c r="F11" s="7">
        <f>[1]【1】!F21</f>
        <v>474.37599999999998</v>
      </c>
      <c r="G11" s="7">
        <f>[1]【1】!G21</f>
        <v>604.00199999999995</v>
      </c>
      <c r="H11" s="7">
        <v>18.984000000000002</v>
      </c>
      <c r="I11" s="10">
        <v>207000</v>
      </c>
      <c r="J11" s="9">
        <v>5.6662129193392703</v>
      </c>
    </row>
    <row r="12" spans="1:10" x14ac:dyDescent="0.2">
      <c r="A12" s="1">
        <f t="shared" si="0"/>
        <v>11</v>
      </c>
      <c r="B12" s="6">
        <f>[1]【1】!B32</f>
        <v>914.4</v>
      </c>
      <c r="C12" s="7">
        <f>[1]【1】!C32</f>
        <v>9.8298000000000005</v>
      </c>
      <c r="D12" s="7">
        <f>[1]【1】!D32</f>
        <v>6.8579999999999997</v>
      </c>
      <c r="E12" s="7">
        <f>[1]【1】!E32</f>
        <v>152.4</v>
      </c>
      <c r="F12" s="7">
        <f>[1]【1】!F32</f>
        <v>484.71850000000001</v>
      </c>
      <c r="G12" s="7">
        <f>[1]【1】!G32</f>
        <v>610.20749999999998</v>
      </c>
      <c r="H12" s="7">
        <v>16.271999999999998</v>
      </c>
      <c r="I12" s="10">
        <v>207000</v>
      </c>
      <c r="J12" s="9">
        <v>5.7115403679100698</v>
      </c>
    </row>
    <row r="13" spans="1:10" x14ac:dyDescent="0.2">
      <c r="A13" s="1">
        <f t="shared" si="0"/>
        <v>12</v>
      </c>
      <c r="B13" s="6">
        <f>[1]【9】!B18</f>
        <v>711.2</v>
      </c>
      <c r="C13" s="7">
        <f>[1]【9】!C18</f>
        <v>8.1999999999999993</v>
      </c>
      <c r="D13" s="7">
        <f>[1]【9】!D18</f>
        <v>6.2</v>
      </c>
      <c r="E13" s="7">
        <f>[1]【9】!E18</f>
        <v>250</v>
      </c>
      <c r="F13" s="7">
        <f>[1]【9】!F18</f>
        <v>543</v>
      </c>
      <c r="G13" s="7">
        <f>[1]【9】!G18</f>
        <v>695</v>
      </c>
      <c r="H13" s="10">
        <v>50</v>
      </c>
      <c r="I13" s="10">
        <v>207000</v>
      </c>
      <c r="J13" s="9">
        <v>6</v>
      </c>
    </row>
    <row r="14" spans="1:10" x14ac:dyDescent="0.2">
      <c r="A14" s="1">
        <f t="shared" si="0"/>
        <v>13</v>
      </c>
      <c r="B14" s="6">
        <v>914.4</v>
      </c>
      <c r="C14" s="7">
        <v>10.6</v>
      </c>
      <c r="D14" s="7">
        <v>9.1999999999999993</v>
      </c>
      <c r="E14" s="8">
        <v>200</v>
      </c>
      <c r="F14" s="7">
        <v>529</v>
      </c>
      <c r="G14" s="7">
        <v>670</v>
      </c>
      <c r="H14" s="7">
        <v>115</v>
      </c>
      <c r="I14" s="11">
        <v>207000</v>
      </c>
      <c r="J14" s="12">
        <v>6.2</v>
      </c>
    </row>
    <row r="15" spans="1:10" x14ac:dyDescent="0.2">
      <c r="A15" s="1">
        <f t="shared" si="0"/>
        <v>14</v>
      </c>
      <c r="B15" s="6">
        <v>88.9</v>
      </c>
      <c r="C15" s="7">
        <v>4</v>
      </c>
      <c r="D15" s="7">
        <v>3.6</v>
      </c>
      <c r="E15" s="8">
        <v>60</v>
      </c>
      <c r="F15" s="7">
        <v>246</v>
      </c>
      <c r="G15" s="7">
        <v>570</v>
      </c>
      <c r="H15" s="7">
        <v>84</v>
      </c>
      <c r="I15" s="11">
        <v>207000</v>
      </c>
      <c r="J15" s="12">
        <v>6.2</v>
      </c>
    </row>
    <row r="16" spans="1:10" x14ac:dyDescent="0.2">
      <c r="A16" s="1">
        <f t="shared" si="0"/>
        <v>15</v>
      </c>
      <c r="B16" s="6">
        <v>762</v>
      </c>
      <c r="C16" s="7">
        <v>9.7281999999999993</v>
      </c>
      <c r="D16" s="7">
        <v>5.9181999999999997</v>
      </c>
      <c r="E16" s="8">
        <v>369.82400000000001</v>
      </c>
      <c r="F16" s="7">
        <v>420.59500000000003</v>
      </c>
      <c r="G16" s="7">
        <v>563.32150000000001</v>
      </c>
      <c r="H16" s="7">
        <v>40.68</v>
      </c>
      <c r="I16" s="11">
        <v>207000</v>
      </c>
      <c r="J16" s="12">
        <v>6.2510201135664003</v>
      </c>
    </row>
    <row r="17" spans="1:10" x14ac:dyDescent="0.2">
      <c r="A17" s="1">
        <f t="shared" si="0"/>
        <v>16</v>
      </c>
      <c r="B17" s="6">
        <v>1066.8</v>
      </c>
      <c r="C17" s="7">
        <v>10.2616</v>
      </c>
      <c r="D17" s="7">
        <v>6.5023999999999997</v>
      </c>
      <c r="E17" s="8">
        <v>165.1</v>
      </c>
      <c r="F17" s="7">
        <v>435.0745</v>
      </c>
      <c r="G17" s="7">
        <v>586.07500000000005</v>
      </c>
      <c r="H17" s="7">
        <v>29.832000000000001</v>
      </c>
      <c r="I17" s="11">
        <v>207000</v>
      </c>
      <c r="J17" s="12">
        <v>6.3972583996892602</v>
      </c>
    </row>
    <row r="18" spans="1:10" x14ac:dyDescent="0.2">
      <c r="A18" s="1">
        <f t="shared" si="0"/>
        <v>17</v>
      </c>
      <c r="B18" s="6">
        <v>914.4</v>
      </c>
      <c r="C18" s="7">
        <v>10.6</v>
      </c>
      <c r="D18" s="7">
        <v>7.2</v>
      </c>
      <c r="E18" s="8">
        <v>250</v>
      </c>
      <c r="F18" s="7">
        <v>529</v>
      </c>
      <c r="G18" s="7">
        <v>670</v>
      </c>
      <c r="H18" s="7">
        <v>115</v>
      </c>
      <c r="I18" s="11">
        <v>207000</v>
      </c>
      <c r="J18" s="12">
        <v>6.4</v>
      </c>
    </row>
    <row r="19" spans="1:10" x14ac:dyDescent="0.2">
      <c r="A19" s="1">
        <f t="shared" si="0"/>
        <v>18</v>
      </c>
      <c r="B19" s="6">
        <v>914.4</v>
      </c>
      <c r="C19" s="7">
        <v>9.9822000000000006</v>
      </c>
      <c r="D19" s="7">
        <v>7.5438000000000001</v>
      </c>
      <c r="E19" s="8">
        <v>121.92</v>
      </c>
      <c r="F19" s="7">
        <v>449.55399999999997</v>
      </c>
      <c r="G19" s="7">
        <v>609.51800000000003</v>
      </c>
      <c r="H19" s="7">
        <v>31.187999999999999</v>
      </c>
      <c r="I19" s="11">
        <v>207000</v>
      </c>
      <c r="J19" s="12">
        <v>6.9717155392741503</v>
      </c>
    </row>
    <row r="20" spans="1:10" x14ac:dyDescent="0.2">
      <c r="A20" s="1">
        <f t="shared" si="0"/>
        <v>19</v>
      </c>
      <c r="B20" s="6">
        <v>762</v>
      </c>
      <c r="C20" s="7">
        <v>9.8043999999999993</v>
      </c>
      <c r="D20" s="7">
        <v>5.9943999999999997</v>
      </c>
      <c r="E20" s="8">
        <v>219.202</v>
      </c>
      <c r="F20" s="7">
        <v>420.59500000000003</v>
      </c>
      <c r="G20" s="7">
        <v>563.32150000000001</v>
      </c>
      <c r="H20" s="7">
        <v>40.68</v>
      </c>
      <c r="I20" s="11">
        <v>207000</v>
      </c>
      <c r="J20" s="12">
        <v>7.24828972218421</v>
      </c>
    </row>
    <row r="21" spans="1:10" x14ac:dyDescent="0.2">
      <c r="A21" s="1">
        <f t="shared" si="0"/>
        <v>20</v>
      </c>
      <c r="B21" s="6">
        <v>88.9</v>
      </c>
      <c r="C21" s="7">
        <v>4</v>
      </c>
      <c r="D21" s="7">
        <v>3.5</v>
      </c>
      <c r="E21" s="8">
        <v>80</v>
      </c>
      <c r="F21" s="7">
        <v>246</v>
      </c>
      <c r="G21" s="7">
        <v>570</v>
      </c>
      <c r="H21" s="7">
        <v>84</v>
      </c>
      <c r="I21" s="11">
        <v>207000</v>
      </c>
      <c r="J21" s="12">
        <v>7.3</v>
      </c>
    </row>
    <row r="22" spans="1:10" x14ac:dyDescent="0.2">
      <c r="A22" s="1">
        <f t="shared" si="0"/>
        <v>21</v>
      </c>
      <c r="B22" s="6">
        <v>914.4</v>
      </c>
      <c r="C22" s="7">
        <v>9.7281999999999993</v>
      </c>
      <c r="D22" s="7">
        <v>4.9530000000000003</v>
      </c>
      <c r="E22" s="8">
        <v>190.5</v>
      </c>
      <c r="F22" s="7">
        <v>475.755</v>
      </c>
      <c r="G22" s="7">
        <v>618.48149999999998</v>
      </c>
      <c r="H22" s="7">
        <v>29.832000000000001</v>
      </c>
      <c r="I22" s="11">
        <v>207000</v>
      </c>
      <c r="J22" s="12">
        <v>7.3600808026338198</v>
      </c>
    </row>
    <row r="23" spans="1:10" x14ac:dyDescent="0.2">
      <c r="A23" s="1">
        <f t="shared" si="0"/>
        <v>22</v>
      </c>
      <c r="B23" s="6">
        <v>914.4</v>
      </c>
      <c r="C23" s="7">
        <v>11.303000000000001</v>
      </c>
      <c r="D23" s="7">
        <v>8.6614000000000004</v>
      </c>
      <c r="E23" s="8">
        <v>139.69999999999999</v>
      </c>
      <c r="F23" s="7">
        <v>379.22500000000002</v>
      </c>
      <c r="G23" s="7">
        <v>536.43100000000004</v>
      </c>
      <c r="H23" s="7">
        <v>37.968000000000004</v>
      </c>
      <c r="I23" s="11">
        <v>207000</v>
      </c>
      <c r="J23" s="12">
        <v>7.3932231557960701</v>
      </c>
    </row>
    <row r="24" spans="1:10" x14ac:dyDescent="0.2">
      <c r="A24" s="1">
        <f t="shared" si="0"/>
        <v>23</v>
      </c>
      <c r="B24" s="6">
        <v>88.9</v>
      </c>
      <c r="C24" s="7">
        <v>4</v>
      </c>
      <c r="D24" s="7">
        <v>3.7</v>
      </c>
      <c r="E24" s="8">
        <v>30</v>
      </c>
      <c r="F24" s="7">
        <v>246</v>
      </c>
      <c r="G24" s="7">
        <v>570</v>
      </c>
      <c r="H24" s="7">
        <v>84</v>
      </c>
      <c r="I24" s="11">
        <v>207000</v>
      </c>
      <c r="J24" s="12">
        <v>7.6</v>
      </c>
    </row>
    <row r="25" spans="1:10" x14ac:dyDescent="0.2">
      <c r="A25" s="1">
        <f t="shared" si="0"/>
        <v>24</v>
      </c>
      <c r="B25" s="6">
        <v>762</v>
      </c>
      <c r="C25" s="7">
        <v>15.6464</v>
      </c>
      <c r="D25" s="7">
        <v>10.8712</v>
      </c>
      <c r="E25" s="8">
        <v>406.4</v>
      </c>
      <c r="F25" s="7">
        <v>456.44900000000001</v>
      </c>
      <c r="G25" s="7">
        <v>627.44500000000005</v>
      </c>
      <c r="H25" s="7">
        <v>42.036000000000001</v>
      </c>
      <c r="I25" s="11">
        <v>207000</v>
      </c>
      <c r="J25" s="12">
        <v>7.7068306451612898</v>
      </c>
    </row>
    <row r="26" spans="1:10" x14ac:dyDescent="0.2">
      <c r="A26" s="1">
        <f t="shared" si="0"/>
        <v>25</v>
      </c>
      <c r="B26" s="6">
        <v>88.9</v>
      </c>
      <c r="C26" s="7">
        <v>4</v>
      </c>
      <c r="D26" s="7">
        <v>3.5</v>
      </c>
      <c r="E26" s="8">
        <v>50</v>
      </c>
      <c r="F26" s="7">
        <v>246</v>
      </c>
      <c r="G26" s="7">
        <v>570</v>
      </c>
      <c r="H26" s="7">
        <v>84</v>
      </c>
      <c r="I26" s="11">
        <v>207000</v>
      </c>
      <c r="J26" s="12">
        <v>7.8</v>
      </c>
    </row>
    <row r="27" spans="1:10" x14ac:dyDescent="0.2">
      <c r="A27" s="1">
        <f t="shared" si="0"/>
        <v>26</v>
      </c>
      <c r="B27" s="6">
        <v>762</v>
      </c>
      <c r="C27" s="7">
        <v>15.494</v>
      </c>
      <c r="D27" s="7">
        <v>10.896599999999999</v>
      </c>
      <c r="E27" s="8">
        <v>406.4</v>
      </c>
      <c r="F27" s="7">
        <v>456.44900000000001</v>
      </c>
      <c r="G27" s="7">
        <v>627.44500000000005</v>
      </c>
      <c r="H27" s="7">
        <v>42.036000000000001</v>
      </c>
      <c r="I27" s="11">
        <v>207000</v>
      </c>
      <c r="J27" s="12">
        <v>7.8331799861014604</v>
      </c>
    </row>
    <row r="28" spans="1:10" x14ac:dyDescent="0.2">
      <c r="A28" s="1">
        <f t="shared" si="0"/>
        <v>27</v>
      </c>
      <c r="B28" s="6">
        <v>88.9</v>
      </c>
      <c r="C28" s="7">
        <v>4</v>
      </c>
      <c r="D28" s="7">
        <v>3.7</v>
      </c>
      <c r="E28" s="8">
        <v>40</v>
      </c>
      <c r="F28" s="7">
        <v>246</v>
      </c>
      <c r="G28" s="7">
        <v>570</v>
      </c>
      <c r="H28" s="7">
        <v>84</v>
      </c>
      <c r="I28" s="11">
        <v>207000</v>
      </c>
      <c r="J28" s="12">
        <v>8</v>
      </c>
    </row>
    <row r="29" spans="1:10" x14ac:dyDescent="0.2">
      <c r="A29" s="1">
        <f t="shared" si="0"/>
        <v>28</v>
      </c>
      <c r="B29" s="6">
        <v>88.9</v>
      </c>
      <c r="C29" s="7">
        <v>4</v>
      </c>
      <c r="D29" s="7">
        <v>3.1</v>
      </c>
      <c r="E29" s="8">
        <v>85</v>
      </c>
      <c r="F29" s="7">
        <v>336</v>
      </c>
      <c r="G29" s="7">
        <v>486</v>
      </c>
      <c r="H29" s="7">
        <v>76</v>
      </c>
      <c r="I29" s="11">
        <v>207000</v>
      </c>
      <c r="J29" s="12">
        <v>8.34</v>
      </c>
    </row>
    <row r="30" spans="1:10" x14ac:dyDescent="0.2">
      <c r="A30" s="1">
        <f t="shared" si="0"/>
        <v>29</v>
      </c>
      <c r="B30" s="6">
        <v>914.4</v>
      </c>
      <c r="C30" s="7">
        <v>11.150600000000001</v>
      </c>
      <c r="D30" s="7">
        <v>6.8326000000000002</v>
      </c>
      <c r="E30" s="8">
        <v>139.69999999999999</v>
      </c>
      <c r="F30" s="7">
        <v>379.22500000000002</v>
      </c>
      <c r="G30" s="7">
        <v>536.43100000000004</v>
      </c>
      <c r="H30" s="7">
        <v>37.968000000000004</v>
      </c>
      <c r="I30" s="11">
        <v>207000</v>
      </c>
      <c r="J30" s="12">
        <v>8.4803670633790809</v>
      </c>
    </row>
    <row r="31" spans="1:10" x14ac:dyDescent="0.2">
      <c r="A31" s="1">
        <f t="shared" si="0"/>
        <v>30</v>
      </c>
      <c r="B31" s="6">
        <v>914.4</v>
      </c>
      <c r="C31" s="7">
        <v>11.1252</v>
      </c>
      <c r="D31" s="7">
        <v>7.5692000000000004</v>
      </c>
      <c r="E31" s="8">
        <v>127</v>
      </c>
      <c r="F31" s="7">
        <v>397.8415</v>
      </c>
      <c r="G31" s="7">
        <v>562.63199999999995</v>
      </c>
      <c r="H31" s="7">
        <v>46.103999999999999</v>
      </c>
      <c r="I31" s="11">
        <v>207000</v>
      </c>
      <c r="J31" s="12">
        <v>8.6153343013324193</v>
      </c>
    </row>
    <row r="32" spans="1:10" x14ac:dyDescent="0.2">
      <c r="A32" s="1">
        <f t="shared" si="0"/>
        <v>31</v>
      </c>
      <c r="B32" s="6">
        <v>914.4</v>
      </c>
      <c r="C32" s="7">
        <v>10.5664</v>
      </c>
      <c r="D32" s="7">
        <v>4.3179999999999996</v>
      </c>
      <c r="E32" s="8">
        <v>165.1</v>
      </c>
      <c r="F32" s="7">
        <v>456.44900000000001</v>
      </c>
      <c r="G32" s="7">
        <v>609.51800000000003</v>
      </c>
      <c r="H32" s="7">
        <v>33.9</v>
      </c>
      <c r="I32" s="11">
        <v>207000</v>
      </c>
      <c r="J32" s="12">
        <v>9.0042802547770702</v>
      </c>
    </row>
    <row r="33" spans="1:10" x14ac:dyDescent="0.2">
      <c r="A33" s="1">
        <f t="shared" si="0"/>
        <v>32</v>
      </c>
      <c r="B33" s="6">
        <v>914.4</v>
      </c>
      <c r="C33" s="7">
        <v>10.1092</v>
      </c>
      <c r="D33" s="7">
        <v>5.1307999999999998</v>
      </c>
      <c r="E33" s="8">
        <v>153.16200000000001</v>
      </c>
      <c r="F33" s="7">
        <v>504.02449999999999</v>
      </c>
      <c r="G33" s="7">
        <v>633.65049999999997</v>
      </c>
      <c r="H33" s="7">
        <v>28.475999999999999</v>
      </c>
      <c r="I33" s="11">
        <v>207000</v>
      </c>
      <c r="J33" s="12">
        <v>9.0579821043063298</v>
      </c>
    </row>
    <row r="34" spans="1:10" x14ac:dyDescent="0.2">
      <c r="A34" s="1">
        <f t="shared" si="0"/>
        <v>33</v>
      </c>
      <c r="B34" s="6">
        <v>914.4</v>
      </c>
      <c r="C34" s="7">
        <v>10.2616</v>
      </c>
      <c r="D34" s="7">
        <v>5.2069999999999999</v>
      </c>
      <c r="E34" s="8">
        <v>111.76</v>
      </c>
      <c r="F34" s="7">
        <v>449.55399999999997</v>
      </c>
      <c r="G34" s="7">
        <v>609.51800000000003</v>
      </c>
      <c r="H34" s="7">
        <v>31.187999999999999</v>
      </c>
      <c r="I34" s="11">
        <v>207000</v>
      </c>
      <c r="J34" s="12">
        <v>9.1026852693793998</v>
      </c>
    </row>
    <row r="35" spans="1:10" x14ac:dyDescent="0.2">
      <c r="A35" s="1">
        <f t="shared" si="0"/>
        <v>34</v>
      </c>
      <c r="B35" s="6">
        <v>762</v>
      </c>
      <c r="C35" s="7">
        <v>9.1440000000000001</v>
      </c>
      <c r="D35" s="7">
        <v>4.6736000000000004</v>
      </c>
      <c r="E35" s="8">
        <v>152.4</v>
      </c>
      <c r="F35" s="7">
        <v>448.17500000000001</v>
      </c>
      <c r="G35" s="7">
        <v>583.31700000000001</v>
      </c>
      <c r="H35" s="10">
        <v>27.12</v>
      </c>
      <c r="I35" s="11">
        <v>207000</v>
      </c>
      <c r="J35" s="12">
        <v>9.1895655737704907</v>
      </c>
    </row>
    <row r="36" spans="1:10" x14ac:dyDescent="0.2">
      <c r="A36" s="1">
        <f t="shared" si="0"/>
        <v>35</v>
      </c>
      <c r="B36" s="6">
        <v>88.9</v>
      </c>
      <c r="C36" s="7">
        <v>4</v>
      </c>
      <c r="D36" s="7">
        <v>3.5</v>
      </c>
      <c r="E36" s="8">
        <v>80</v>
      </c>
      <c r="F36" s="7">
        <v>246</v>
      </c>
      <c r="G36" s="7">
        <v>570</v>
      </c>
      <c r="H36" s="10">
        <v>84</v>
      </c>
      <c r="I36" s="11">
        <v>207000</v>
      </c>
      <c r="J36" s="12">
        <v>9.1999999999999993</v>
      </c>
    </row>
    <row r="37" spans="1:10" x14ac:dyDescent="0.2">
      <c r="A37" s="1">
        <f t="shared" si="0"/>
        <v>36</v>
      </c>
      <c r="B37" s="6">
        <v>762</v>
      </c>
      <c r="C37" s="7">
        <v>9.8805999999999994</v>
      </c>
      <c r="D37" s="7">
        <v>8.0518000000000001</v>
      </c>
      <c r="E37" s="8">
        <v>86.36</v>
      </c>
      <c r="F37" s="7">
        <v>439.90100000000001</v>
      </c>
      <c r="G37" s="7">
        <v>553.66849999999999</v>
      </c>
      <c r="H37" s="10">
        <v>40.68</v>
      </c>
      <c r="I37" s="11">
        <v>207000</v>
      </c>
      <c r="J37" s="12">
        <v>9.8394023680788507</v>
      </c>
    </row>
    <row r="38" spans="1:10" x14ac:dyDescent="0.2">
      <c r="A38" s="1">
        <f t="shared" si="0"/>
        <v>37</v>
      </c>
      <c r="B38" s="6">
        <v>762</v>
      </c>
      <c r="C38" s="7">
        <v>9.3217999999999996</v>
      </c>
      <c r="D38" s="7">
        <v>4.5720000000000001</v>
      </c>
      <c r="E38" s="8">
        <v>152.4</v>
      </c>
      <c r="F38" s="7">
        <v>448.17500000000001</v>
      </c>
      <c r="G38" s="7">
        <v>583.31700000000001</v>
      </c>
      <c r="H38" s="10">
        <v>27.12</v>
      </c>
      <c r="I38" s="11">
        <v>207000</v>
      </c>
      <c r="J38" s="12">
        <v>9.9088118977653199</v>
      </c>
    </row>
    <row r="39" spans="1:10" x14ac:dyDescent="0.2">
      <c r="A39" s="1">
        <f t="shared" si="0"/>
        <v>38</v>
      </c>
      <c r="B39" s="6">
        <v>762</v>
      </c>
      <c r="C39" s="7">
        <v>9.6265999999999998</v>
      </c>
      <c r="D39" s="7">
        <v>3.9116</v>
      </c>
      <c r="E39" s="7">
        <v>222.25</v>
      </c>
      <c r="F39" s="7">
        <v>440.59050000000002</v>
      </c>
      <c r="G39" s="7">
        <v>575.04300000000001</v>
      </c>
      <c r="H39" s="10">
        <v>36.612000000000002</v>
      </c>
      <c r="I39" s="11">
        <v>207000</v>
      </c>
      <c r="J39" s="12">
        <v>10.259077149305799</v>
      </c>
    </row>
    <row r="40" spans="1:10" x14ac:dyDescent="0.2">
      <c r="A40" s="1">
        <f t="shared" si="0"/>
        <v>39</v>
      </c>
      <c r="B40" s="6">
        <v>178</v>
      </c>
      <c r="C40" s="7">
        <v>5.53</v>
      </c>
      <c r="D40" s="7">
        <v>4.9161700000000002</v>
      </c>
      <c r="E40" s="7">
        <v>82.397000000000006</v>
      </c>
      <c r="F40" s="7">
        <v>623</v>
      </c>
      <c r="G40" s="7">
        <v>811</v>
      </c>
      <c r="H40" s="10">
        <v>10.8</v>
      </c>
      <c r="I40" s="11">
        <v>207000</v>
      </c>
      <c r="J40" s="12">
        <v>10.3</v>
      </c>
    </row>
    <row r="41" spans="1:10" x14ac:dyDescent="0.2">
      <c r="A41" s="1">
        <f t="shared" si="0"/>
        <v>40</v>
      </c>
      <c r="B41" s="6">
        <v>914.4</v>
      </c>
      <c r="C41" s="7">
        <v>10.667999999999999</v>
      </c>
      <c r="D41" s="7">
        <v>7.4930000000000003</v>
      </c>
      <c r="E41" s="7">
        <v>63.5</v>
      </c>
      <c r="F41" s="7">
        <v>423.35300000000001</v>
      </c>
      <c r="G41" s="7">
        <v>587.45399999999995</v>
      </c>
      <c r="H41" s="10">
        <v>36.612000000000002</v>
      </c>
      <c r="I41" s="11">
        <v>207000</v>
      </c>
      <c r="J41" s="12">
        <v>10.311907849829399</v>
      </c>
    </row>
    <row r="42" spans="1:10" x14ac:dyDescent="0.2">
      <c r="A42" s="1">
        <f t="shared" si="0"/>
        <v>41</v>
      </c>
      <c r="B42" s="6">
        <v>762</v>
      </c>
      <c r="C42" s="7">
        <v>9.4741999999999997</v>
      </c>
      <c r="D42" s="7">
        <v>4.5212000000000003</v>
      </c>
      <c r="E42" s="7">
        <v>152.4</v>
      </c>
      <c r="F42" s="7">
        <v>448.17500000000001</v>
      </c>
      <c r="G42" s="7">
        <v>583.31700000000001</v>
      </c>
      <c r="H42" s="10">
        <v>27.12</v>
      </c>
      <c r="I42" s="11">
        <v>207000</v>
      </c>
      <c r="J42" s="12">
        <v>10.461761297600299</v>
      </c>
    </row>
    <row r="43" spans="1:10" x14ac:dyDescent="0.2">
      <c r="A43" s="1">
        <f t="shared" si="0"/>
        <v>42</v>
      </c>
      <c r="B43" s="6">
        <v>88.9</v>
      </c>
      <c r="C43" s="7">
        <v>4</v>
      </c>
      <c r="D43" s="7">
        <v>3.8</v>
      </c>
      <c r="E43" s="7">
        <v>20</v>
      </c>
      <c r="F43" s="7">
        <v>246</v>
      </c>
      <c r="G43" s="7">
        <v>570</v>
      </c>
      <c r="H43" s="10">
        <v>84</v>
      </c>
      <c r="I43" s="11">
        <v>207000</v>
      </c>
      <c r="J43" s="12">
        <v>10.7</v>
      </c>
    </row>
    <row r="44" spans="1:10" x14ac:dyDescent="0.2">
      <c r="A44" s="1">
        <f t="shared" si="0"/>
        <v>43</v>
      </c>
      <c r="B44" s="6">
        <v>762</v>
      </c>
      <c r="C44" s="7">
        <v>9.6519999999999992</v>
      </c>
      <c r="D44" s="7">
        <v>5.8419999999999996</v>
      </c>
      <c r="E44" s="7">
        <v>83.82</v>
      </c>
      <c r="F44" s="7">
        <v>394.39400000000001</v>
      </c>
      <c r="G44" s="7">
        <v>530.91499999999996</v>
      </c>
      <c r="H44" s="10">
        <v>39.323999999999998</v>
      </c>
      <c r="I44" s="11">
        <v>207000</v>
      </c>
      <c r="J44" s="12">
        <v>10.8244897400821</v>
      </c>
    </row>
    <row r="45" spans="1:10" x14ac:dyDescent="0.2">
      <c r="A45" s="1">
        <f t="shared" si="0"/>
        <v>44</v>
      </c>
      <c r="B45" s="6">
        <v>762</v>
      </c>
      <c r="C45" s="7">
        <v>9.6519999999999992</v>
      </c>
      <c r="D45" s="7">
        <v>5.8419999999999996</v>
      </c>
      <c r="E45" s="7">
        <v>83.82</v>
      </c>
      <c r="F45" s="7">
        <v>394.39400000000001</v>
      </c>
      <c r="G45" s="7">
        <v>530.91499999999996</v>
      </c>
      <c r="H45" s="10">
        <v>39.323999999999998</v>
      </c>
      <c r="I45" s="11">
        <v>207000</v>
      </c>
      <c r="J45" s="12">
        <v>10.932017783857701</v>
      </c>
    </row>
    <row r="46" spans="1:10" x14ac:dyDescent="0.2">
      <c r="A46" s="1">
        <f t="shared" si="0"/>
        <v>45</v>
      </c>
      <c r="B46" s="6">
        <v>914.4</v>
      </c>
      <c r="C46" s="7">
        <v>10.032999999999999</v>
      </c>
      <c r="D46" s="7">
        <v>5.1307999999999998</v>
      </c>
      <c r="E46" s="7">
        <v>84.581999999999994</v>
      </c>
      <c r="F46" s="7">
        <v>509.54050000000001</v>
      </c>
      <c r="G46" s="7">
        <v>632.96100000000001</v>
      </c>
      <c r="H46" s="10">
        <v>29.832000000000001</v>
      </c>
      <c r="I46" s="11">
        <v>207000</v>
      </c>
      <c r="J46" s="12">
        <v>11.355111332008001</v>
      </c>
    </row>
    <row r="47" spans="1:10" x14ac:dyDescent="0.2">
      <c r="A47" s="1">
        <f t="shared" si="0"/>
        <v>46</v>
      </c>
      <c r="B47" s="6">
        <v>88.9</v>
      </c>
      <c r="C47" s="7">
        <v>4</v>
      </c>
      <c r="D47" s="7">
        <v>3.1</v>
      </c>
      <c r="E47" s="7">
        <v>90</v>
      </c>
      <c r="F47" s="7">
        <v>246</v>
      </c>
      <c r="G47" s="7">
        <v>570</v>
      </c>
      <c r="H47" s="10">
        <v>84</v>
      </c>
      <c r="I47" s="11">
        <v>207000</v>
      </c>
      <c r="J47" s="12">
        <v>11.7</v>
      </c>
    </row>
    <row r="48" spans="1:10" x14ac:dyDescent="0.2">
      <c r="A48" s="1">
        <f t="shared" si="0"/>
        <v>47</v>
      </c>
      <c r="B48" s="6">
        <v>762</v>
      </c>
      <c r="C48" s="7">
        <v>9.6265999999999998</v>
      </c>
      <c r="D48" s="7">
        <v>3.9116</v>
      </c>
      <c r="E48" s="7">
        <v>83.82</v>
      </c>
      <c r="F48" s="7">
        <v>440.59050000000002</v>
      </c>
      <c r="G48" s="7">
        <v>575.04300000000001</v>
      </c>
      <c r="H48" s="10">
        <v>36.612000000000002</v>
      </c>
      <c r="I48" s="11">
        <v>207000</v>
      </c>
      <c r="J48" s="12">
        <v>12.3144671705082</v>
      </c>
    </row>
    <row r="49" spans="1:10" x14ac:dyDescent="0.2">
      <c r="A49" s="1">
        <f t="shared" si="0"/>
        <v>48</v>
      </c>
      <c r="B49" s="6">
        <v>863.6</v>
      </c>
      <c r="C49" s="7">
        <v>12.801600000000001</v>
      </c>
      <c r="D49" s="7">
        <v>3.2258</v>
      </c>
      <c r="E49" s="7">
        <v>406.4</v>
      </c>
      <c r="F49" s="7">
        <v>465.41250000000002</v>
      </c>
      <c r="G49" s="7">
        <v>613.65499999999997</v>
      </c>
      <c r="H49" s="10">
        <v>17.628</v>
      </c>
      <c r="I49" s="11">
        <v>207000</v>
      </c>
      <c r="J49" s="12">
        <v>12.7871821047527</v>
      </c>
    </row>
    <row r="50" spans="1:10" x14ac:dyDescent="0.2">
      <c r="A50" s="1">
        <f t="shared" si="0"/>
        <v>49</v>
      </c>
      <c r="B50" s="6">
        <v>88.9</v>
      </c>
      <c r="C50" s="7">
        <v>4</v>
      </c>
      <c r="D50" s="7">
        <v>3.3</v>
      </c>
      <c r="E50" s="7">
        <v>40</v>
      </c>
      <c r="F50" s="7">
        <v>246</v>
      </c>
      <c r="G50" s="7">
        <v>570</v>
      </c>
      <c r="H50" s="10">
        <v>84</v>
      </c>
      <c r="I50" s="11">
        <v>207000</v>
      </c>
      <c r="J50" s="12">
        <v>14.2</v>
      </c>
    </row>
    <row r="51" spans="1:10" x14ac:dyDescent="0.2">
      <c r="A51" s="1">
        <f t="shared" si="0"/>
        <v>50</v>
      </c>
      <c r="B51" s="6">
        <v>88.9</v>
      </c>
      <c r="C51" s="7">
        <v>4</v>
      </c>
      <c r="D51" s="7">
        <v>3.2</v>
      </c>
      <c r="E51" s="7">
        <v>60</v>
      </c>
      <c r="F51" s="7">
        <v>246</v>
      </c>
      <c r="G51" s="7">
        <v>570</v>
      </c>
      <c r="H51" s="10">
        <v>84</v>
      </c>
      <c r="I51" s="11">
        <v>207000</v>
      </c>
      <c r="J51" s="12">
        <v>14.5</v>
      </c>
    </row>
    <row r="52" spans="1:10" x14ac:dyDescent="0.2">
      <c r="A52" s="1">
        <f t="shared" si="0"/>
        <v>51</v>
      </c>
      <c r="B52" s="6">
        <v>88.9</v>
      </c>
      <c r="C52" s="7">
        <v>4</v>
      </c>
      <c r="D52" s="7">
        <v>3</v>
      </c>
      <c r="E52" s="7">
        <v>125</v>
      </c>
      <c r="F52" s="7">
        <v>336</v>
      </c>
      <c r="G52" s="7">
        <v>486</v>
      </c>
      <c r="H52" s="10">
        <v>76</v>
      </c>
      <c r="I52" s="11">
        <v>207000</v>
      </c>
      <c r="J52" s="12">
        <v>14.7</v>
      </c>
    </row>
    <row r="53" spans="1:10" x14ac:dyDescent="0.2">
      <c r="A53" s="1">
        <f t="shared" si="0"/>
        <v>52</v>
      </c>
      <c r="B53" s="6">
        <v>178</v>
      </c>
      <c r="C53" s="7">
        <v>5.36</v>
      </c>
      <c r="D53" s="7">
        <v>4.8507999999999996</v>
      </c>
      <c r="E53" s="7">
        <v>67.536000000000001</v>
      </c>
      <c r="F53" s="7">
        <v>557</v>
      </c>
      <c r="G53" s="7">
        <v>838</v>
      </c>
      <c r="H53" s="10">
        <v>11.25</v>
      </c>
      <c r="I53" s="11">
        <v>207000</v>
      </c>
      <c r="J53" s="12">
        <v>15.2</v>
      </c>
    </row>
    <row r="54" spans="1:10" x14ac:dyDescent="0.2">
      <c r="A54" s="1">
        <f t="shared" si="0"/>
        <v>53</v>
      </c>
      <c r="B54" s="6">
        <v>1422.4</v>
      </c>
      <c r="C54" s="7">
        <v>19.25</v>
      </c>
      <c r="D54" s="7">
        <v>10.4</v>
      </c>
      <c r="E54" s="7">
        <v>180</v>
      </c>
      <c r="F54" s="7">
        <v>740</v>
      </c>
      <c r="G54" s="7">
        <v>774</v>
      </c>
      <c r="H54" s="10">
        <v>261</v>
      </c>
      <c r="I54" s="11">
        <v>207000</v>
      </c>
      <c r="J54" s="12">
        <v>15.35</v>
      </c>
    </row>
    <row r="55" spans="1:10" x14ac:dyDescent="0.2">
      <c r="A55" s="1">
        <f t="shared" si="0"/>
        <v>54</v>
      </c>
      <c r="B55" s="6">
        <v>178</v>
      </c>
      <c r="C55" s="7">
        <v>5.41</v>
      </c>
      <c r="D55" s="7">
        <v>4.3334099999999998</v>
      </c>
      <c r="E55" s="7">
        <v>81.150000000000006</v>
      </c>
      <c r="F55" s="7">
        <v>615</v>
      </c>
      <c r="G55" s="7">
        <v>823</v>
      </c>
      <c r="H55" s="10">
        <v>11.25</v>
      </c>
      <c r="I55" s="11">
        <v>207000</v>
      </c>
      <c r="J55" s="12">
        <v>15.9</v>
      </c>
    </row>
    <row r="56" spans="1:10" x14ac:dyDescent="0.2">
      <c r="A56" s="1">
        <f t="shared" si="0"/>
        <v>55</v>
      </c>
      <c r="B56" s="6">
        <v>88.9</v>
      </c>
      <c r="C56" s="7">
        <v>4</v>
      </c>
      <c r="D56" s="7">
        <v>3.6</v>
      </c>
      <c r="E56" s="7">
        <v>40</v>
      </c>
      <c r="F56" s="7">
        <v>336</v>
      </c>
      <c r="G56" s="7">
        <v>486</v>
      </c>
      <c r="H56" s="10">
        <v>76</v>
      </c>
      <c r="I56" s="11">
        <v>207000</v>
      </c>
      <c r="J56" s="12">
        <v>16</v>
      </c>
    </row>
    <row r="57" spans="1:10" x14ac:dyDescent="0.2">
      <c r="A57" s="1">
        <f t="shared" si="0"/>
        <v>56</v>
      </c>
      <c r="B57" s="6">
        <v>88.9</v>
      </c>
      <c r="C57" s="7">
        <v>4</v>
      </c>
      <c r="D57" s="7">
        <v>3.7</v>
      </c>
      <c r="E57" s="7">
        <v>20</v>
      </c>
      <c r="F57" s="7">
        <v>246</v>
      </c>
      <c r="G57" s="7">
        <v>570</v>
      </c>
      <c r="H57" s="10">
        <v>84</v>
      </c>
      <c r="I57" s="11">
        <v>207000</v>
      </c>
      <c r="J57" s="12">
        <v>16.3</v>
      </c>
    </row>
    <row r="58" spans="1:10" x14ac:dyDescent="0.2">
      <c r="A58" s="1">
        <f t="shared" si="0"/>
        <v>57</v>
      </c>
      <c r="B58" s="6">
        <v>230</v>
      </c>
      <c r="C58" s="7">
        <v>6.9</v>
      </c>
      <c r="D58" s="7">
        <v>5.3129999999999997</v>
      </c>
      <c r="E58" s="7">
        <v>89.7</v>
      </c>
      <c r="F58" s="7">
        <v>898</v>
      </c>
      <c r="G58" s="7">
        <v>1000</v>
      </c>
      <c r="H58" s="10">
        <v>18.5</v>
      </c>
      <c r="I58" s="11">
        <v>207000</v>
      </c>
      <c r="J58" s="12">
        <v>17</v>
      </c>
    </row>
    <row r="59" spans="1:10" x14ac:dyDescent="0.2">
      <c r="A59" s="1">
        <f t="shared" si="0"/>
        <v>58</v>
      </c>
      <c r="B59" s="6">
        <v>178</v>
      </c>
      <c r="C59" s="7">
        <v>5.2</v>
      </c>
      <c r="D59" s="7">
        <v>4.0819999999999999</v>
      </c>
      <c r="E59" s="7">
        <v>76.44</v>
      </c>
      <c r="F59" s="7">
        <v>665</v>
      </c>
      <c r="G59" s="7">
        <v>843</v>
      </c>
      <c r="H59" s="10">
        <v>10.8</v>
      </c>
      <c r="I59" s="11">
        <v>207000</v>
      </c>
      <c r="J59" s="12">
        <v>17.2</v>
      </c>
    </row>
    <row r="60" spans="1:10" x14ac:dyDescent="0.2">
      <c r="A60" s="1">
        <f t="shared" si="0"/>
        <v>59</v>
      </c>
      <c r="B60" s="6">
        <v>230</v>
      </c>
      <c r="C60" s="7">
        <v>7.8</v>
      </c>
      <c r="D60" s="7">
        <v>6.4740000000000002</v>
      </c>
      <c r="E60" s="7">
        <v>101.4</v>
      </c>
      <c r="F60" s="7">
        <v>890</v>
      </c>
      <c r="G60" s="7">
        <v>949</v>
      </c>
      <c r="H60" s="10">
        <v>66</v>
      </c>
      <c r="I60" s="11">
        <v>207000</v>
      </c>
      <c r="J60" s="12">
        <v>17.600000000000001</v>
      </c>
    </row>
    <row r="61" spans="1:10" x14ac:dyDescent="0.2">
      <c r="A61" s="1">
        <f t="shared" si="0"/>
        <v>60</v>
      </c>
      <c r="B61" s="6">
        <v>88.9</v>
      </c>
      <c r="C61" s="7">
        <v>4</v>
      </c>
      <c r="D61" s="7">
        <v>2.8</v>
      </c>
      <c r="E61" s="7">
        <v>75</v>
      </c>
      <c r="F61" s="7">
        <v>336</v>
      </c>
      <c r="G61" s="7">
        <v>486</v>
      </c>
      <c r="H61" s="10">
        <v>76</v>
      </c>
      <c r="I61" s="11">
        <v>207000</v>
      </c>
      <c r="J61" s="12">
        <v>17.899999999999999</v>
      </c>
    </row>
    <row r="62" spans="1:10" x14ac:dyDescent="0.2">
      <c r="A62" s="1">
        <f t="shared" si="0"/>
        <v>61</v>
      </c>
      <c r="B62" s="6">
        <v>230</v>
      </c>
      <c r="C62" s="7">
        <v>7.4</v>
      </c>
      <c r="D62" s="7">
        <v>5.6980000000000004</v>
      </c>
      <c r="E62" s="7">
        <v>96.2</v>
      </c>
      <c r="F62" s="7">
        <v>850</v>
      </c>
      <c r="G62" s="7">
        <v>950</v>
      </c>
      <c r="H62" s="10">
        <v>28.5</v>
      </c>
      <c r="I62" s="11">
        <v>207000</v>
      </c>
      <c r="J62" s="12">
        <v>18.5</v>
      </c>
    </row>
    <row r="63" spans="1:10" x14ac:dyDescent="0.2">
      <c r="A63" s="1">
        <f t="shared" si="0"/>
        <v>62</v>
      </c>
      <c r="B63" s="6">
        <v>230</v>
      </c>
      <c r="C63" s="7">
        <v>7.4</v>
      </c>
      <c r="D63" s="7">
        <v>5.6980000000000004</v>
      </c>
      <c r="E63" s="7">
        <v>96.2</v>
      </c>
      <c r="F63" s="7">
        <v>850</v>
      </c>
      <c r="G63" s="7">
        <v>950</v>
      </c>
      <c r="H63" s="10">
        <v>28.5</v>
      </c>
      <c r="I63" s="11">
        <v>207000</v>
      </c>
      <c r="J63" s="12">
        <v>18.5</v>
      </c>
    </row>
    <row r="64" spans="1:10" x14ac:dyDescent="0.2">
      <c r="A64" s="1">
        <f t="shared" si="0"/>
        <v>63</v>
      </c>
      <c r="B64" s="6">
        <v>232</v>
      </c>
      <c r="C64" s="7">
        <v>6.58</v>
      </c>
      <c r="D64" s="7">
        <v>5.4811399999999999</v>
      </c>
      <c r="E64" s="7">
        <v>65.141999999999996</v>
      </c>
      <c r="F64" s="7">
        <v>748</v>
      </c>
      <c r="G64" s="7">
        <v>875</v>
      </c>
      <c r="H64" s="10">
        <v>16</v>
      </c>
      <c r="I64" s="11">
        <v>207000</v>
      </c>
      <c r="J64" s="12">
        <v>18.600000000000001</v>
      </c>
    </row>
    <row r="65" spans="1:10" x14ac:dyDescent="0.2">
      <c r="A65" s="1">
        <f t="shared" si="0"/>
        <v>64</v>
      </c>
      <c r="B65" s="6">
        <v>178</v>
      </c>
      <c r="C65" s="7">
        <v>5.0999999999999996</v>
      </c>
      <c r="D65" s="7">
        <v>3.3711000000000002</v>
      </c>
      <c r="E65" s="7">
        <v>74.459999999999994</v>
      </c>
      <c r="F65" s="7">
        <v>603</v>
      </c>
      <c r="G65" s="7">
        <v>787</v>
      </c>
      <c r="H65" s="10">
        <v>10.8</v>
      </c>
      <c r="I65" s="11">
        <v>207000</v>
      </c>
      <c r="J65" s="12">
        <v>19</v>
      </c>
    </row>
    <row r="66" spans="1:10" x14ac:dyDescent="0.2">
      <c r="A66" s="1">
        <f t="shared" si="0"/>
        <v>65</v>
      </c>
      <c r="B66" s="6">
        <v>232</v>
      </c>
      <c r="C66" s="7">
        <v>4.7</v>
      </c>
      <c r="D66" s="7">
        <v>3.9950000000000001</v>
      </c>
      <c r="E66" s="7">
        <v>47</v>
      </c>
      <c r="F66" s="7">
        <v>921</v>
      </c>
      <c r="G66" s="7">
        <v>985</v>
      </c>
      <c r="H66" s="10">
        <v>20.8</v>
      </c>
      <c r="I66" s="11">
        <v>207000</v>
      </c>
      <c r="J66" s="12">
        <v>19.100000000000001</v>
      </c>
    </row>
    <row r="67" spans="1:10" x14ac:dyDescent="0.2">
      <c r="A67" s="1">
        <f t="shared" ref="A67:A130" si="1">ROW()-1</f>
        <v>66</v>
      </c>
      <c r="B67" s="6">
        <v>232</v>
      </c>
      <c r="C67" s="7">
        <v>4.7</v>
      </c>
      <c r="D67" s="7">
        <v>3.9950000000000001</v>
      </c>
      <c r="E67" s="7">
        <v>47</v>
      </c>
      <c r="F67" s="7">
        <v>921</v>
      </c>
      <c r="G67" s="7">
        <v>985</v>
      </c>
      <c r="H67" s="10">
        <v>20.8</v>
      </c>
      <c r="I67" s="11">
        <v>207000</v>
      </c>
      <c r="J67" s="12">
        <v>19.100000000000001</v>
      </c>
    </row>
    <row r="68" spans="1:10" x14ac:dyDescent="0.2">
      <c r="A68" s="1">
        <f t="shared" si="1"/>
        <v>67</v>
      </c>
      <c r="B68" s="6">
        <v>232</v>
      </c>
      <c r="C68" s="7">
        <v>4.9000000000000004</v>
      </c>
      <c r="D68" s="7">
        <v>4.2140000000000004</v>
      </c>
      <c r="E68" s="7">
        <v>49</v>
      </c>
      <c r="F68" s="7">
        <v>921</v>
      </c>
      <c r="G68" s="7">
        <v>985</v>
      </c>
      <c r="H68" s="10">
        <v>20.8</v>
      </c>
      <c r="I68" s="11">
        <v>207000</v>
      </c>
      <c r="J68" s="12">
        <v>19.600000000000001</v>
      </c>
    </row>
    <row r="69" spans="1:10" x14ac:dyDescent="0.2">
      <c r="A69" s="1">
        <f t="shared" si="1"/>
        <v>68</v>
      </c>
      <c r="B69" s="6">
        <v>230</v>
      </c>
      <c r="C69" s="7">
        <v>7.3</v>
      </c>
      <c r="D69" s="7">
        <v>5.694</v>
      </c>
      <c r="E69" s="7">
        <v>94.9</v>
      </c>
      <c r="F69" s="7">
        <v>890</v>
      </c>
      <c r="G69" s="7">
        <v>949</v>
      </c>
      <c r="H69" s="10">
        <v>66</v>
      </c>
      <c r="I69" s="11">
        <v>207000</v>
      </c>
      <c r="J69" s="12">
        <v>20</v>
      </c>
    </row>
    <row r="70" spans="1:10" x14ac:dyDescent="0.2">
      <c r="A70" s="1">
        <f t="shared" si="1"/>
        <v>69</v>
      </c>
      <c r="B70" s="6">
        <v>178</v>
      </c>
      <c r="C70" s="7">
        <v>5.41</v>
      </c>
      <c r="D70" s="7">
        <v>4.2143899999999999</v>
      </c>
      <c r="E70" s="7">
        <v>66.001999999999995</v>
      </c>
      <c r="F70" s="7">
        <v>643</v>
      </c>
      <c r="G70" s="7">
        <v>829</v>
      </c>
      <c r="H70" s="6">
        <v>11.25</v>
      </c>
      <c r="I70" s="11">
        <v>207000</v>
      </c>
      <c r="J70" s="12">
        <v>20</v>
      </c>
    </row>
    <row r="71" spans="1:10" x14ac:dyDescent="0.2">
      <c r="A71" s="1">
        <f t="shared" si="1"/>
        <v>70</v>
      </c>
      <c r="B71" s="6">
        <v>230</v>
      </c>
      <c r="C71" s="7">
        <v>7.5</v>
      </c>
      <c r="D71" s="7">
        <v>5.4749999999999996</v>
      </c>
      <c r="E71" s="7">
        <v>97.5</v>
      </c>
      <c r="F71" s="7">
        <v>898</v>
      </c>
      <c r="G71" s="7">
        <v>1000</v>
      </c>
      <c r="H71" s="10">
        <v>18.5</v>
      </c>
      <c r="I71" s="11">
        <v>207000</v>
      </c>
      <c r="J71" s="12">
        <v>20</v>
      </c>
    </row>
    <row r="72" spans="1:10" x14ac:dyDescent="0.2">
      <c r="A72" s="1">
        <f t="shared" si="1"/>
        <v>71</v>
      </c>
      <c r="B72" s="6">
        <v>230</v>
      </c>
      <c r="C72" s="7">
        <v>7.5</v>
      </c>
      <c r="D72" s="7">
        <v>5.4749999999999996</v>
      </c>
      <c r="E72" s="7">
        <v>97.5</v>
      </c>
      <c r="F72" s="7">
        <v>898</v>
      </c>
      <c r="G72" s="7">
        <v>1000</v>
      </c>
      <c r="H72" s="10">
        <v>18.5</v>
      </c>
      <c r="I72" s="11">
        <v>207000</v>
      </c>
      <c r="J72" s="12">
        <v>20</v>
      </c>
    </row>
    <row r="73" spans="1:10" x14ac:dyDescent="0.2">
      <c r="A73" s="1">
        <f t="shared" si="1"/>
        <v>72</v>
      </c>
      <c r="B73" s="6">
        <v>1422.4</v>
      </c>
      <c r="C73" s="7">
        <v>20.100000000000001</v>
      </c>
      <c r="D73" s="7">
        <v>3.8</v>
      </c>
      <c r="E73" s="7">
        <v>385</v>
      </c>
      <c r="F73" s="7">
        <v>795</v>
      </c>
      <c r="G73" s="7">
        <v>840</v>
      </c>
      <c r="H73" s="10">
        <v>171</v>
      </c>
      <c r="I73" s="11">
        <v>207000</v>
      </c>
      <c r="J73" s="12">
        <v>20.12</v>
      </c>
    </row>
    <row r="74" spans="1:10" x14ac:dyDescent="0.2">
      <c r="A74" s="1">
        <f t="shared" si="1"/>
        <v>73</v>
      </c>
      <c r="B74" s="6">
        <v>178</v>
      </c>
      <c r="C74" s="7">
        <v>4.93</v>
      </c>
      <c r="D74" s="7">
        <v>3.4263499999999998</v>
      </c>
      <c r="E74" s="7">
        <v>61.131999999999998</v>
      </c>
      <c r="F74" s="7">
        <v>595</v>
      </c>
      <c r="G74" s="7">
        <v>796</v>
      </c>
      <c r="H74" s="10">
        <v>11.25</v>
      </c>
      <c r="I74" s="11">
        <v>207000</v>
      </c>
      <c r="J74" s="12">
        <v>21</v>
      </c>
    </row>
    <row r="75" spans="1:10" x14ac:dyDescent="0.2">
      <c r="A75" s="1">
        <f t="shared" si="1"/>
        <v>74</v>
      </c>
      <c r="B75" s="6">
        <v>230</v>
      </c>
      <c r="C75" s="7">
        <v>7.5</v>
      </c>
      <c r="D75" s="7">
        <v>5.3250000000000002</v>
      </c>
      <c r="E75" s="7">
        <v>97.5</v>
      </c>
      <c r="F75" s="7">
        <v>850</v>
      </c>
      <c r="G75" s="7">
        <v>950</v>
      </c>
      <c r="H75" s="10">
        <v>28.5</v>
      </c>
      <c r="I75" s="11">
        <v>207000</v>
      </c>
      <c r="J75" s="12">
        <v>21</v>
      </c>
    </row>
    <row r="76" spans="1:10" x14ac:dyDescent="0.2">
      <c r="A76" s="1">
        <f t="shared" si="1"/>
        <v>75</v>
      </c>
      <c r="B76" s="6">
        <v>88.9</v>
      </c>
      <c r="C76" s="7">
        <v>4</v>
      </c>
      <c r="D76" s="7">
        <v>2.1</v>
      </c>
      <c r="E76" s="7">
        <v>220</v>
      </c>
      <c r="F76" s="7">
        <v>336</v>
      </c>
      <c r="G76" s="7">
        <v>486</v>
      </c>
      <c r="H76" s="10">
        <v>76</v>
      </c>
      <c r="I76" s="11">
        <v>207000</v>
      </c>
      <c r="J76" s="12">
        <v>21.2</v>
      </c>
    </row>
    <row r="77" spans="1:10" x14ac:dyDescent="0.2">
      <c r="A77" s="1">
        <f t="shared" si="1"/>
        <v>76</v>
      </c>
      <c r="B77" s="6">
        <v>230</v>
      </c>
      <c r="C77" s="7">
        <v>7.3</v>
      </c>
      <c r="D77" s="7">
        <v>5.84</v>
      </c>
      <c r="E77" s="7">
        <v>94.9</v>
      </c>
      <c r="F77" s="7">
        <v>683</v>
      </c>
      <c r="G77" s="7">
        <v>847</v>
      </c>
      <c r="H77" s="10">
        <v>32</v>
      </c>
      <c r="I77" s="11">
        <v>207000</v>
      </c>
      <c r="J77" s="12">
        <v>21.2</v>
      </c>
    </row>
    <row r="78" spans="1:10" x14ac:dyDescent="0.2">
      <c r="A78" s="1">
        <f t="shared" si="1"/>
        <v>77</v>
      </c>
      <c r="B78" s="6">
        <v>914.4</v>
      </c>
      <c r="C78" s="7">
        <v>16.399999999999999</v>
      </c>
      <c r="D78" s="7">
        <v>9</v>
      </c>
      <c r="E78" s="7">
        <v>150</v>
      </c>
      <c r="F78" s="7">
        <v>739</v>
      </c>
      <c r="G78" s="7">
        <v>813</v>
      </c>
      <c r="H78" s="10">
        <v>253</v>
      </c>
      <c r="I78" s="11">
        <v>207000</v>
      </c>
      <c r="J78" s="12">
        <v>21.4</v>
      </c>
    </row>
    <row r="79" spans="1:10" x14ac:dyDescent="0.2">
      <c r="A79" s="1">
        <f t="shared" si="1"/>
        <v>78</v>
      </c>
      <c r="B79" s="6">
        <v>178</v>
      </c>
      <c r="C79" s="7">
        <v>5.33</v>
      </c>
      <c r="D79" s="7">
        <v>4.84497</v>
      </c>
      <c r="E79" s="7">
        <v>53.3</v>
      </c>
      <c r="F79" s="7">
        <v>630</v>
      </c>
      <c r="G79" s="7">
        <v>832</v>
      </c>
      <c r="H79" s="10">
        <v>13.95</v>
      </c>
      <c r="I79" s="11">
        <v>207000</v>
      </c>
      <c r="J79" s="12">
        <v>21.4</v>
      </c>
    </row>
    <row r="80" spans="1:10" x14ac:dyDescent="0.2">
      <c r="A80" s="1">
        <f t="shared" si="1"/>
        <v>79</v>
      </c>
      <c r="B80" s="6">
        <v>230</v>
      </c>
      <c r="C80" s="7">
        <v>7.6</v>
      </c>
      <c r="D80" s="7">
        <v>5.7</v>
      </c>
      <c r="E80" s="7">
        <v>98.8</v>
      </c>
      <c r="F80" s="7">
        <v>890</v>
      </c>
      <c r="G80" s="7">
        <v>949</v>
      </c>
      <c r="H80" s="10">
        <v>66</v>
      </c>
      <c r="I80" s="11">
        <v>207000</v>
      </c>
      <c r="J80" s="12">
        <v>21.7</v>
      </c>
    </row>
    <row r="81" spans="1:10" x14ac:dyDescent="0.2">
      <c r="A81" s="1">
        <f t="shared" si="1"/>
        <v>80</v>
      </c>
      <c r="B81" s="6">
        <v>230</v>
      </c>
      <c r="C81" s="7">
        <v>7.7</v>
      </c>
      <c r="D81" s="7">
        <v>6.0830000000000002</v>
      </c>
      <c r="E81" s="7">
        <v>100.1</v>
      </c>
      <c r="F81" s="7">
        <v>890</v>
      </c>
      <c r="G81" s="7">
        <v>949</v>
      </c>
      <c r="H81" s="10">
        <v>66</v>
      </c>
      <c r="I81" s="11">
        <v>207000</v>
      </c>
      <c r="J81" s="12">
        <v>21.7</v>
      </c>
    </row>
    <row r="82" spans="1:10" x14ac:dyDescent="0.2">
      <c r="A82" s="1">
        <f t="shared" si="1"/>
        <v>81</v>
      </c>
      <c r="B82" s="6">
        <v>564.79999999999995</v>
      </c>
      <c r="C82" s="7">
        <v>18.399999999999999</v>
      </c>
      <c r="D82" s="7">
        <v>16.8</v>
      </c>
      <c r="E82" s="7">
        <v>218</v>
      </c>
      <c r="F82" s="7">
        <v>798</v>
      </c>
      <c r="G82" s="7">
        <v>922</v>
      </c>
      <c r="H82" s="10">
        <v>78</v>
      </c>
      <c r="I82" s="11">
        <v>207000</v>
      </c>
      <c r="J82" s="12">
        <v>22</v>
      </c>
    </row>
    <row r="83" spans="1:10" x14ac:dyDescent="0.2">
      <c r="A83" s="1">
        <f t="shared" si="1"/>
        <v>82</v>
      </c>
      <c r="B83" s="6">
        <v>232</v>
      </c>
      <c r="C83" s="7">
        <v>6.2</v>
      </c>
      <c r="D83" s="7">
        <v>5.1894</v>
      </c>
      <c r="E83" s="7">
        <v>62</v>
      </c>
      <c r="F83" s="7">
        <v>713</v>
      </c>
      <c r="G83" s="7">
        <v>824</v>
      </c>
      <c r="H83" s="10">
        <v>15.6</v>
      </c>
      <c r="I83" s="11">
        <v>207000</v>
      </c>
      <c r="J83" s="12">
        <v>22</v>
      </c>
    </row>
    <row r="84" spans="1:10" x14ac:dyDescent="0.2">
      <c r="A84" s="1">
        <f t="shared" si="1"/>
        <v>83</v>
      </c>
      <c r="B84" s="6">
        <v>88.9</v>
      </c>
      <c r="C84" s="7">
        <v>4</v>
      </c>
      <c r="D84" s="7">
        <v>2</v>
      </c>
      <c r="E84" s="7">
        <v>222</v>
      </c>
      <c r="F84" s="7">
        <v>336</v>
      </c>
      <c r="G84" s="7">
        <v>486</v>
      </c>
      <c r="H84" s="10">
        <v>76</v>
      </c>
      <c r="I84" s="11">
        <v>207000</v>
      </c>
      <c r="J84" s="12">
        <v>22.4</v>
      </c>
    </row>
    <row r="85" spans="1:10" x14ac:dyDescent="0.2">
      <c r="A85" s="1">
        <f t="shared" si="1"/>
        <v>84</v>
      </c>
      <c r="B85" s="6">
        <v>178</v>
      </c>
      <c r="C85" s="7">
        <v>4.95</v>
      </c>
      <c r="D85" s="7">
        <v>3.0442499999999999</v>
      </c>
      <c r="E85" s="7">
        <v>76.23</v>
      </c>
      <c r="F85" s="7">
        <v>619</v>
      </c>
      <c r="G85" s="7">
        <v>831</v>
      </c>
      <c r="H85" s="10">
        <v>11.25</v>
      </c>
      <c r="I85" s="11">
        <v>207000</v>
      </c>
      <c r="J85" s="12">
        <v>22.4</v>
      </c>
    </row>
    <row r="86" spans="1:10" x14ac:dyDescent="0.2">
      <c r="A86" s="1">
        <f t="shared" si="1"/>
        <v>85</v>
      </c>
      <c r="B86" s="6">
        <v>232</v>
      </c>
      <c r="C86" s="7">
        <v>6.4</v>
      </c>
      <c r="D86" s="7">
        <v>5.4976000000000003</v>
      </c>
      <c r="E86" s="7">
        <v>65.92</v>
      </c>
      <c r="F86" s="7">
        <v>763</v>
      </c>
      <c r="G86" s="7">
        <v>872</v>
      </c>
      <c r="H86" s="10">
        <v>25.6</v>
      </c>
      <c r="I86" s="11">
        <v>207000</v>
      </c>
      <c r="J86" s="12">
        <v>22.5</v>
      </c>
    </row>
    <row r="87" spans="1:10" x14ac:dyDescent="0.2">
      <c r="A87" s="1">
        <f t="shared" si="1"/>
        <v>86</v>
      </c>
      <c r="B87" s="6">
        <v>230</v>
      </c>
      <c r="C87" s="7">
        <v>6.9</v>
      </c>
      <c r="D87" s="7">
        <v>5.52</v>
      </c>
      <c r="E87" s="7">
        <v>69</v>
      </c>
      <c r="F87" s="7">
        <v>922</v>
      </c>
      <c r="G87" s="7">
        <v>1000</v>
      </c>
      <c r="H87" s="10">
        <v>19.5</v>
      </c>
      <c r="I87" s="11">
        <v>207000</v>
      </c>
      <c r="J87" s="12">
        <v>22.5</v>
      </c>
    </row>
    <row r="88" spans="1:10" x14ac:dyDescent="0.2">
      <c r="A88" s="1">
        <f t="shared" si="1"/>
        <v>87</v>
      </c>
      <c r="B88" s="6">
        <v>232</v>
      </c>
      <c r="C88" s="7">
        <v>4.75</v>
      </c>
      <c r="D88" s="7">
        <v>3.9424999999999999</v>
      </c>
      <c r="E88" s="7">
        <v>47.5</v>
      </c>
      <c r="F88" s="7">
        <v>921</v>
      </c>
      <c r="G88" s="7">
        <v>985</v>
      </c>
      <c r="H88" s="10">
        <v>20.8</v>
      </c>
      <c r="I88" s="11">
        <v>207000</v>
      </c>
      <c r="J88" s="12">
        <v>22.7</v>
      </c>
    </row>
    <row r="89" spans="1:10" x14ac:dyDescent="0.2">
      <c r="A89" s="1">
        <f t="shared" si="1"/>
        <v>88</v>
      </c>
      <c r="B89" s="6">
        <v>230</v>
      </c>
      <c r="C89" s="7">
        <v>6.9</v>
      </c>
      <c r="D89" s="7">
        <v>4.899</v>
      </c>
      <c r="E89" s="7">
        <v>89.7</v>
      </c>
      <c r="F89" s="7">
        <v>890</v>
      </c>
      <c r="G89" s="7">
        <v>949</v>
      </c>
      <c r="H89" s="10">
        <v>66</v>
      </c>
      <c r="I89" s="11">
        <v>207000</v>
      </c>
      <c r="J89" s="12">
        <v>23.3</v>
      </c>
    </row>
    <row r="90" spans="1:10" x14ac:dyDescent="0.2">
      <c r="A90" s="1">
        <f t="shared" si="1"/>
        <v>89</v>
      </c>
      <c r="B90" s="6">
        <v>178</v>
      </c>
      <c r="C90" s="7">
        <v>5.2</v>
      </c>
      <c r="D90" s="7">
        <v>4.6643999999999997</v>
      </c>
      <c r="E90" s="7">
        <v>44.2</v>
      </c>
      <c r="F90" s="7">
        <v>604</v>
      </c>
      <c r="G90" s="7">
        <v>825</v>
      </c>
      <c r="H90" s="10">
        <v>13.05</v>
      </c>
      <c r="I90" s="11">
        <v>207000</v>
      </c>
      <c r="J90" s="12">
        <v>23.4</v>
      </c>
    </row>
    <row r="91" spans="1:10" x14ac:dyDescent="0.2">
      <c r="A91" s="1">
        <f t="shared" si="1"/>
        <v>90</v>
      </c>
      <c r="B91" s="6">
        <v>236</v>
      </c>
      <c r="C91" s="7">
        <v>9.9</v>
      </c>
      <c r="D91" s="7">
        <v>7.92</v>
      </c>
      <c r="E91" s="7">
        <v>99</v>
      </c>
      <c r="F91" s="7">
        <v>648</v>
      </c>
      <c r="G91" s="7">
        <v>786</v>
      </c>
      <c r="H91" s="10">
        <v>32</v>
      </c>
      <c r="I91" s="11">
        <v>207000</v>
      </c>
      <c r="J91" s="12">
        <v>23.6</v>
      </c>
    </row>
    <row r="92" spans="1:10" x14ac:dyDescent="0.2">
      <c r="A92" s="1">
        <f t="shared" si="1"/>
        <v>91</v>
      </c>
      <c r="B92" s="6">
        <v>914.4</v>
      </c>
      <c r="C92" s="7">
        <v>16.399999999999999</v>
      </c>
      <c r="D92" s="7">
        <v>6</v>
      </c>
      <c r="E92" s="7">
        <v>450</v>
      </c>
      <c r="F92" s="7">
        <v>739</v>
      </c>
      <c r="G92" s="7">
        <v>813</v>
      </c>
      <c r="H92" s="10">
        <v>253</v>
      </c>
      <c r="I92" s="11">
        <v>207000</v>
      </c>
      <c r="J92" s="12">
        <v>24.02</v>
      </c>
    </row>
    <row r="93" spans="1:10" x14ac:dyDescent="0.2">
      <c r="A93" s="1">
        <f t="shared" si="1"/>
        <v>92</v>
      </c>
      <c r="B93" s="6">
        <v>178</v>
      </c>
      <c r="C93" s="7">
        <v>5.33</v>
      </c>
      <c r="D93" s="7">
        <v>4.1574</v>
      </c>
      <c r="E93" s="7">
        <v>52.234000000000002</v>
      </c>
      <c r="F93" s="7">
        <v>560</v>
      </c>
      <c r="G93" s="7">
        <v>811</v>
      </c>
      <c r="H93" s="10">
        <v>13.95</v>
      </c>
      <c r="I93" s="11">
        <v>207000</v>
      </c>
      <c r="J93" s="12">
        <v>24.5</v>
      </c>
    </row>
    <row r="94" spans="1:10" x14ac:dyDescent="0.2">
      <c r="A94" s="1">
        <f t="shared" si="1"/>
        <v>93</v>
      </c>
      <c r="B94" s="6">
        <v>178</v>
      </c>
      <c r="C94" s="7">
        <v>5.0199999999999996</v>
      </c>
      <c r="D94" s="7">
        <v>3.1425200000000002</v>
      </c>
      <c r="E94" s="7">
        <v>65.762</v>
      </c>
      <c r="F94" s="7">
        <v>599</v>
      </c>
      <c r="G94" s="7">
        <v>808</v>
      </c>
      <c r="H94" s="10">
        <v>11.25</v>
      </c>
      <c r="I94" s="11">
        <v>207000</v>
      </c>
      <c r="J94" s="12">
        <v>24.5</v>
      </c>
    </row>
    <row r="95" spans="1:10" x14ac:dyDescent="0.2">
      <c r="A95" s="1">
        <f t="shared" si="1"/>
        <v>94</v>
      </c>
      <c r="B95" s="6">
        <v>178</v>
      </c>
      <c r="C95" s="7">
        <v>5.15</v>
      </c>
      <c r="D95" s="7">
        <v>4.6916500000000001</v>
      </c>
      <c r="E95" s="7">
        <v>39.14</v>
      </c>
      <c r="F95" s="7">
        <v>623</v>
      </c>
      <c r="G95" s="7">
        <v>797</v>
      </c>
      <c r="H95" s="10">
        <v>14.4</v>
      </c>
      <c r="I95" s="11">
        <v>207000</v>
      </c>
      <c r="J95" s="12">
        <v>24.8</v>
      </c>
    </row>
    <row r="96" spans="1:10" x14ac:dyDescent="0.2">
      <c r="A96" s="1">
        <f t="shared" si="1"/>
        <v>95</v>
      </c>
      <c r="B96" s="6">
        <v>230</v>
      </c>
      <c r="C96" s="7">
        <v>7.1</v>
      </c>
      <c r="D96" s="7">
        <v>5.68</v>
      </c>
      <c r="E96" s="7">
        <v>71</v>
      </c>
      <c r="F96" s="7">
        <v>898</v>
      </c>
      <c r="G96" s="7">
        <v>1000</v>
      </c>
      <c r="H96" s="10">
        <v>33</v>
      </c>
      <c r="I96" s="11">
        <v>207000</v>
      </c>
      <c r="J96" s="12">
        <v>25</v>
      </c>
    </row>
    <row r="97" spans="1:10" x14ac:dyDescent="0.2">
      <c r="A97" s="1">
        <f t="shared" si="1"/>
        <v>96</v>
      </c>
      <c r="B97" s="6">
        <v>230</v>
      </c>
      <c r="C97" s="7">
        <v>7.3</v>
      </c>
      <c r="D97" s="7">
        <v>5.4749999999999996</v>
      </c>
      <c r="E97" s="7">
        <v>94.9</v>
      </c>
      <c r="F97" s="7">
        <v>683</v>
      </c>
      <c r="G97" s="7">
        <v>847</v>
      </c>
      <c r="H97" s="10">
        <v>32</v>
      </c>
      <c r="I97" s="11">
        <v>207000</v>
      </c>
      <c r="J97" s="12">
        <v>25.2</v>
      </c>
    </row>
    <row r="98" spans="1:10" x14ac:dyDescent="0.2">
      <c r="A98" s="1">
        <f t="shared" si="1"/>
        <v>97</v>
      </c>
      <c r="B98" s="6">
        <v>232</v>
      </c>
      <c r="C98" s="7">
        <v>4.71</v>
      </c>
      <c r="D98" s="7">
        <v>4.1448</v>
      </c>
      <c r="E98" s="7">
        <v>46.628999999999998</v>
      </c>
      <c r="F98" s="7">
        <v>999</v>
      </c>
      <c r="G98" s="7">
        <v>1072</v>
      </c>
      <c r="H98" s="10">
        <v>39.200000000000003</v>
      </c>
      <c r="I98" s="11">
        <v>207000</v>
      </c>
      <c r="J98" s="12">
        <v>25.5</v>
      </c>
    </row>
    <row r="99" spans="1:10" x14ac:dyDescent="0.2">
      <c r="A99" s="1">
        <f t="shared" si="1"/>
        <v>98</v>
      </c>
      <c r="B99" s="6">
        <v>230</v>
      </c>
      <c r="C99" s="7">
        <v>7.6</v>
      </c>
      <c r="D99" s="7">
        <v>5.4720000000000004</v>
      </c>
      <c r="E99" s="7">
        <v>98.8</v>
      </c>
      <c r="F99" s="7">
        <v>890</v>
      </c>
      <c r="G99" s="7">
        <v>949</v>
      </c>
      <c r="H99" s="10">
        <v>66</v>
      </c>
      <c r="I99" s="11">
        <v>207000</v>
      </c>
      <c r="J99" s="12">
        <v>26</v>
      </c>
    </row>
    <row r="100" spans="1:10" x14ac:dyDescent="0.2">
      <c r="A100" s="1">
        <f t="shared" si="1"/>
        <v>99</v>
      </c>
      <c r="B100" s="6">
        <v>88.9</v>
      </c>
      <c r="C100" s="7">
        <v>4</v>
      </c>
      <c r="D100" s="7">
        <v>3.6</v>
      </c>
      <c r="E100" s="7">
        <v>30</v>
      </c>
      <c r="F100" s="7">
        <v>336</v>
      </c>
      <c r="G100" s="7">
        <v>486</v>
      </c>
      <c r="H100" s="10">
        <v>76</v>
      </c>
      <c r="I100" s="11">
        <v>207000</v>
      </c>
      <c r="J100" s="12">
        <v>26.5</v>
      </c>
    </row>
    <row r="101" spans="1:10" x14ac:dyDescent="0.2">
      <c r="A101" s="1">
        <f t="shared" si="1"/>
        <v>100</v>
      </c>
      <c r="B101" s="6">
        <v>178</v>
      </c>
      <c r="C101" s="7">
        <v>5.33</v>
      </c>
      <c r="D101" s="7">
        <v>3.7789700000000002</v>
      </c>
      <c r="E101" s="7">
        <v>54.366</v>
      </c>
      <c r="F101" s="7">
        <v>582</v>
      </c>
      <c r="G101" s="7">
        <v>802</v>
      </c>
      <c r="H101" s="10">
        <v>13.95</v>
      </c>
      <c r="I101" s="11">
        <v>207000</v>
      </c>
      <c r="J101" s="12">
        <v>26.5</v>
      </c>
    </row>
    <row r="102" spans="1:10" x14ac:dyDescent="0.2">
      <c r="A102" s="1">
        <f t="shared" si="1"/>
        <v>101</v>
      </c>
      <c r="B102" s="6">
        <v>230</v>
      </c>
      <c r="C102" s="7">
        <v>7.3</v>
      </c>
      <c r="D102" s="7">
        <v>5.694</v>
      </c>
      <c r="E102" s="7">
        <v>73</v>
      </c>
      <c r="F102" s="7">
        <v>922</v>
      </c>
      <c r="G102" s="7">
        <v>1000</v>
      </c>
      <c r="H102" s="10">
        <v>19.5</v>
      </c>
      <c r="I102" s="11">
        <v>207000</v>
      </c>
      <c r="J102" s="12">
        <v>26.5</v>
      </c>
    </row>
    <row r="103" spans="1:10" x14ac:dyDescent="0.2">
      <c r="A103" s="1">
        <f t="shared" si="1"/>
        <v>102</v>
      </c>
      <c r="B103" s="6">
        <v>236</v>
      </c>
      <c r="C103" s="7">
        <v>9.6999999999999993</v>
      </c>
      <c r="D103" s="7">
        <v>7.2750000000000004</v>
      </c>
      <c r="E103" s="7">
        <v>97</v>
      </c>
      <c r="F103" s="7">
        <v>648</v>
      </c>
      <c r="G103" s="7">
        <v>786</v>
      </c>
      <c r="H103" s="10">
        <v>32</v>
      </c>
      <c r="I103" s="11">
        <v>207000</v>
      </c>
      <c r="J103" s="12">
        <v>26.9</v>
      </c>
    </row>
    <row r="104" spans="1:10" x14ac:dyDescent="0.2">
      <c r="A104" s="1">
        <f t="shared" si="1"/>
        <v>103</v>
      </c>
      <c r="B104" s="6">
        <v>178</v>
      </c>
      <c r="C104" s="7">
        <v>5.25</v>
      </c>
      <c r="D104" s="7">
        <v>2.5830000000000002</v>
      </c>
      <c r="E104" s="7">
        <v>65.099999999999994</v>
      </c>
      <c r="F104" s="7">
        <v>670</v>
      </c>
      <c r="G104" s="7">
        <v>815</v>
      </c>
      <c r="H104" s="10">
        <v>13.95</v>
      </c>
      <c r="I104" s="11">
        <v>207000</v>
      </c>
      <c r="J104" s="12">
        <v>26.9</v>
      </c>
    </row>
    <row r="105" spans="1:10" x14ac:dyDescent="0.2">
      <c r="A105" s="1">
        <f t="shared" si="1"/>
        <v>104</v>
      </c>
      <c r="B105" s="6">
        <v>230</v>
      </c>
      <c r="C105" s="7">
        <v>6.5</v>
      </c>
      <c r="D105" s="7">
        <v>5.1025</v>
      </c>
      <c r="E105" s="7">
        <v>65</v>
      </c>
      <c r="F105" s="7">
        <v>898</v>
      </c>
      <c r="G105" s="7">
        <v>1000</v>
      </c>
      <c r="H105" s="10">
        <v>33</v>
      </c>
      <c r="I105" s="11">
        <v>207000</v>
      </c>
      <c r="J105" s="12">
        <v>27</v>
      </c>
    </row>
    <row r="106" spans="1:10" x14ac:dyDescent="0.2">
      <c r="A106" s="1">
        <f t="shared" si="1"/>
        <v>105</v>
      </c>
      <c r="B106" s="6">
        <v>230</v>
      </c>
      <c r="C106" s="7">
        <v>6.6</v>
      </c>
      <c r="D106" s="7">
        <v>5.016</v>
      </c>
      <c r="E106" s="7">
        <v>66</v>
      </c>
      <c r="F106" s="7">
        <v>835</v>
      </c>
      <c r="G106" s="7">
        <v>966</v>
      </c>
      <c r="H106" s="10">
        <v>41</v>
      </c>
      <c r="I106" s="11">
        <v>207000</v>
      </c>
      <c r="J106" s="12">
        <v>27.2</v>
      </c>
    </row>
    <row r="107" spans="1:10" x14ac:dyDescent="0.2">
      <c r="A107" s="1">
        <f t="shared" si="1"/>
        <v>106</v>
      </c>
      <c r="B107" s="6">
        <v>88.9</v>
      </c>
      <c r="C107" s="7">
        <v>4</v>
      </c>
      <c r="D107" s="7">
        <v>2</v>
      </c>
      <c r="E107" s="7">
        <v>72</v>
      </c>
      <c r="F107" s="7">
        <v>336</v>
      </c>
      <c r="G107" s="7">
        <v>486</v>
      </c>
      <c r="H107" s="10">
        <v>76</v>
      </c>
      <c r="I107" s="11">
        <v>207000</v>
      </c>
      <c r="J107" s="12">
        <v>27.5</v>
      </c>
    </row>
    <row r="108" spans="1:10" x14ac:dyDescent="0.2">
      <c r="A108" s="1">
        <f t="shared" si="1"/>
        <v>107</v>
      </c>
      <c r="B108" s="6">
        <v>88.9</v>
      </c>
      <c r="C108" s="7">
        <v>4</v>
      </c>
      <c r="D108" s="7">
        <v>2</v>
      </c>
      <c r="E108" s="7">
        <v>122</v>
      </c>
      <c r="F108" s="7">
        <v>336</v>
      </c>
      <c r="G108" s="7">
        <v>486</v>
      </c>
      <c r="H108" s="10">
        <v>76</v>
      </c>
      <c r="I108" s="11">
        <v>207000</v>
      </c>
      <c r="J108" s="12">
        <v>27.5</v>
      </c>
    </row>
    <row r="109" spans="1:10" x14ac:dyDescent="0.2">
      <c r="A109" s="1">
        <f t="shared" si="1"/>
        <v>108</v>
      </c>
      <c r="B109" s="6">
        <v>230</v>
      </c>
      <c r="C109" s="7">
        <v>6.8</v>
      </c>
      <c r="D109" s="7">
        <v>4.76</v>
      </c>
      <c r="E109" s="7">
        <v>88.4</v>
      </c>
      <c r="F109" s="7">
        <v>683</v>
      </c>
      <c r="G109" s="7">
        <v>847</v>
      </c>
      <c r="H109" s="10">
        <v>32</v>
      </c>
      <c r="I109" s="11">
        <v>207000</v>
      </c>
      <c r="J109" s="12">
        <v>27.7</v>
      </c>
    </row>
    <row r="110" spans="1:10" x14ac:dyDescent="0.2">
      <c r="A110" s="1">
        <f t="shared" si="1"/>
        <v>109</v>
      </c>
      <c r="B110" s="6">
        <v>571.4</v>
      </c>
      <c r="C110" s="7">
        <v>17.7</v>
      </c>
      <c r="D110" s="7">
        <v>13.1</v>
      </c>
      <c r="E110" s="7">
        <v>160</v>
      </c>
      <c r="F110" s="7">
        <v>831</v>
      </c>
      <c r="G110" s="7">
        <v>947</v>
      </c>
      <c r="H110" s="10">
        <v>68</v>
      </c>
      <c r="I110" s="11">
        <v>207000</v>
      </c>
      <c r="J110" s="12">
        <v>28.2</v>
      </c>
    </row>
    <row r="111" spans="1:10" x14ac:dyDescent="0.2">
      <c r="A111" s="1">
        <f t="shared" si="1"/>
        <v>110</v>
      </c>
      <c r="B111" s="6">
        <v>236</v>
      </c>
      <c r="C111" s="7">
        <v>9.1999999999999993</v>
      </c>
      <c r="D111" s="7">
        <v>7.36</v>
      </c>
      <c r="E111" s="7">
        <v>92</v>
      </c>
      <c r="F111" s="7">
        <v>648</v>
      </c>
      <c r="G111" s="7">
        <v>786</v>
      </c>
      <c r="H111" s="10">
        <v>32</v>
      </c>
      <c r="I111" s="11">
        <v>207000</v>
      </c>
      <c r="J111" s="12">
        <v>28.3</v>
      </c>
    </row>
    <row r="112" spans="1:10" x14ac:dyDescent="0.2">
      <c r="A112" s="1">
        <f t="shared" si="1"/>
        <v>111</v>
      </c>
      <c r="B112" s="6">
        <v>178</v>
      </c>
      <c r="C112" s="7">
        <v>5.33</v>
      </c>
      <c r="D112" s="7">
        <v>4.2373500000000002</v>
      </c>
      <c r="E112" s="7">
        <v>45.305</v>
      </c>
      <c r="F112" s="7">
        <v>635</v>
      </c>
      <c r="G112" s="7">
        <v>811</v>
      </c>
      <c r="H112" s="10">
        <v>13.05</v>
      </c>
      <c r="I112" s="11">
        <v>207000</v>
      </c>
      <c r="J112" s="12">
        <v>28.3</v>
      </c>
    </row>
    <row r="113" spans="1:10" x14ac:dyDescent="0.2">
      <c r="A113" s="1">
        <f t="shared" si="1"/>
        <v>112</v>
      </c>
      <c r="B113" s="6">
        <v>564</v>
      </c>
      <c r="C113" s="7">
        <v>18</v>
      </c>
      <c r="D113" s="7">
        <v>17.8</v>
      </c>
      <c r="E113" s="7">
        <v>98</v>
      </c>
      <c r="F113" s="7">
        <v>825</v>
      </c>
      <c r="G113" s="7">
        <v>966</v>
      </c>
      <c r="H113" s="10">
        <v>65</v>
      </c>
      <c r="I113" s="11">
        <v>207000</v>
      </c>
      <c r="J113" s="12">
        <v>28.5</v>
      </c>
    </row>
    <row r="114" spans="1:10" x14ac:dyDescent="0.2">
      <c r="A114" s="1">
        <f t="shared" si="1"/>
        <v>113</v>
      </c>
      <c r="B114" s="6">
        <v>565.20000000000005</v>
      </c>
      <c r="C114" s="7">
        <v>17.600000000000001</v>
      </c>
      <c r="D114" s="7">
        <v>11.6</v>
      </c>
      <c r="E114" s="7">
        <v>205</v>
      </c>
      <c r="F114" s="7">
        <v>832</v>
      </c>
      <c r="G114" s="7">
        <v>951</v>
      </c>
      <c r="H114" s="10">
        <v>68</v>
      </c>
      <c r="I114" s="11">
        <v>207000</v>
      </c>
      <c r="J114" s="12">
        <v>29</v>
      </c>
    </row>
    <row r="115" spans="1:10" x14ac:dyDescent="0.2">
      <c r="A115" s="1">
        <f t="shared" si="1"/>
        <v>114</v>
      </c>
      <c r="B115" s="6">
        <v>178</v>
      </c>
      <c r="C115" s="7">
        <v>5.43</v>
      </c>
      <c r="D115" s="7">
        <v>3.1439699999999999</v>
      </c>
      <c r="E115" s="7">
        <v>52.670999999999999</v>
      </c>
      <c r="F115" s="7">
        <v>536</v>
      </c>
      <c r="G115" s="7">
        <v>736</v>
      </c>
      <c r="H115" s="10">
        <v>13.95</v>
      </c>
      <c r="I115" s="11">
        <v>207000</v>
      </c>
      <c r="J115" s="12">
        <v>29</v>
      </c>
    </row>
    <row r="116" spans="1:10" x14ac:dyDescent="0.2">
      <c r="A116" s="1">
        <f t="shared" si="1"/>
        <v>115</v>
      </c>
      <c r="B116" s="6">
        <v>178</v>
      </c>
      <c r="C116" s="7">
        <v>5.08</v>
      </c>
      <c r="D116" s="7">
        <v>4.0132000000000003</v>
      </c>
      <c r="E116" s="7">
        <v>37.591999999999999</v>
      </c>
      <c r="F116" s="7">
        <v>625</v>
      </c>
      <c r="G116" s="7">
        <v>783</v>
      </c>
      <c r="H116" s="10">
        <v>14.4</v>
      </c>
      <c r="I116" s="11">
        <v>207000</v>
      </c>
      <c r="J116" s="12">
        <v>29.3</v>
      </c>
    </row>
    <row r="117" spans="1:10" x14ac:dyDescent="0.2">
      <c r="A117" s="1">
        <f t="shared" si="1"/>
        <v>116</v>
      </c>
      <c r="B117" s="6">
        <v>178</v>
      </c>
      <c r="C117" s="7">
        <v>5.51</v>
      </c>
      <c r="D117" s="7">
        <v>3.8845499999999999</v>
      </c>
      <c r="E117" s="7">
        <v>47.386000000000003</v>
      </c>
      <c r="F117" s="7">
        <v>577</v>
      </c>
      <c r="G117" s="7">
        <v>800</v>
      </c>
      <c r="H117" s="10">
        <v>13.05</v>
      </c>
      <c r="I117" s="11">
        <v>207000</v>
      </c>
      <c r="J117" s="12">
        <v>29.6</v>
      </c>
    </row>
    <row r="118" spans="1:10" x14ac:dyDescent="0.2">
      <c r="A118" s="1">
        <f t="shared" si="1"/>
        <v>117</v>
      </c>
      <c r="B118" s="6">
        <v>229</v>
      </c>
      <c r="C118" s="7">
        <v>6.6</v>
      </c>
      <c r="D118" s="7">
        <v>5.28</v>
      </c>
      <c r="E118" s="7">
        <v>66</v>
      </c>
      <c r="F118" s="7">
        <v>878</v>
      </c>
      <c r="G118" s="7">
        <v>996</v>
      </c>
      <c r="H118" s="10">
        <v>62.5</v>
      </c>
      <c r="I118" s="11">
        <v>207000</v>
      </c>
      <c r="J118" s="12">
        <v>30</v>
      </c>
    </row>
    <row r="119" spans="1:10" x14ac:dyDescent="0.2">
      <c r="A119" s="1">
        <f t="shared" si="1"/>
        <v>118</v>
      </c>
      <c r="B119" s="6">
        <v>230</v>
      </c>
      <c r="C119" s="7">
        <v>7</v>
      </c>
      <c r="D119" s="7">
        <v>5.6</v>
      </c>
      <c r="E119" s="7">
        <v>70</v>
      </c>
      <c r="F119" s="7">
        <v>835</v>
      </c>
      <c r="G119" s="7">
        <v>966</v>
      </c>
      <c r="H119" s="10">
        <v>41</v>
      </c>
      <c r="I119" s="11">
        <v>207000</v>
      </c>
      <c r="J119" s="12">
        <v>30.5</v>
      </c>
    </row>
    <row r="120" spans="1:10" x14ac:dyDescent="0.2">
      <c r="A120" s="1">
        <f t="shared" si="1"/>
        <v>119</v>
      </c>
      <c r="B120" s="6">
        <v>230</v>
      </c>
      <c r="C120" s="7">
        <v>7.2</v>
      </c>
      <c r="D120" s="7">
        <v>4.32</v>
      </c>
      <c r="E120" s="7">
        <v>93.6</v>
      </c>
      <c r="F120" s="7">
        <v>683</v>
      </c>
      <c r="G120" s="7">
        <v>847</v>
      </c>
      <c r="H120" s="10">
        <v>32</v>
      </c>
      <c r="I120" s="11">
        <v>207000</v>
      </c>
      <c r="J120" s="12">
        <v>31</v>
      </c>
    </row>
    <row r="121" spans="1:10" x14ac:dyDescent="0.2">
      <c r="A121" s="1">
        <f t="shared" si="1"/>
        <v>120</v>
      </c>
      <c r="B121" s="6">
        <v>178</v>
      </c>
      <c r="C121" s="7">
        <v>5.35</v>
      </c>
      <c r="D121" s="7">
        <v>3.1939500000000001</v>
      </c>
      <c r="E121" s="7">
        <v>44.94</v>
      </c>
      <c r="F121" s="7">
        <v>563</v>
      </c>
      <c r="G121" s="7">
        <v>808</v>
      </c>
      <c r="H121" s="10">
        <v>13.05</v>
      </c>
      <c r="I121" s="11">
        <v>207000</v>
      </c>
      <c r="J121" s="12">
        <v>31</v>
      </c>
    </row>
    <row r="122" spans="1:10" x14ac:dyDescent="0.2">
      <c r="A122" s="1">
        <f t="shared" si="1"/>
        <v>121</v>
      </c>
      <c r="B122" s="6">
        <v>178</v>
      </c>
      <c r="C122" s="7">
        <v>5.0999999999999996</v>
      </c>
      <c r="D122" s="7">
        <v>2.6112000000000002</v>
      </c>
      <c r="E122" s="7">
        <v>44.37</v>
      </c>
      <c r="F122" s="7">
        <v>587</v>
      </c>
      <c r="G122" s="7">
        <v>762</v>
      </c>
      <c r="H122" s="10">
        <v>13.05</v>
      </c>
      <c r="I122" s="11">
        <v>207000</v>
      </c>
      <c r="J122" s="12">
        <v>31.4</v>
      </c>
    </row>
    <row r="123" spans="1:10" x14ac:dyDescent="0.2">
      <c r="A123" s="1">
        <f t="shared" si="1"/>
        <v>122</v>
      </c>
      <c r="B123" s="6">
        <v>566</v>
      </c>
      <c r="C123" s="7">
        <v>18</v>
      </c>
      <c r="D123" s="7">
        <v>11.6</v>
      </c>
      <c r="E123" s="7">
        <v>215</v>
      </c>
      <c r="F123" s="7">
        <v>703</v>
      </c>
      <c r="G123" s="7">
        <v>847</v>
      </c>
      <c r="H123" s="10">
        <v>80</v>
      </c>
      <c r="I123" s="11">
        <v>207000</v>
      </c>
      <c r="J123" s="12">
        <v>31.7</v>
      </c>
    </row>
    <row r="124" spans="1:10" x14ac:dyDescent="0.2">
      <c r="A124" s="1">
        <f t="shared" si="1"/>
        <v>123</v>
      </c>
      <c r="B124" s="6">
        <v>229</v>
      </c>
      <c r="C124" s="7">
        <v>6.9</v>
      </c>
      <c r="D124" s="7">
        <v>5.52</v>
      </c>
      <c r="E124" s="7">
        <v>69</v>
      </c>
      <c r="F124" s="7">
        <v>855</v>
      </c>
      <c r="G124" s="7">
        <v>961</v>
      </c>
      <c r="H124" s="10">
        <v>62.5</v>
      </c>
      <c r="I124" s="11">
        <v>207000</v>
      </c>
      <c r="J124" s="12">
        <v>32</v>
      </c>
    </row>
    <row r="125" spans="1:10" x14ac:dyDescent="0.2">
      <c r="A125" s="1">
        <f t="shared" si="1"/>
        <v>124</v>
      </c>
      <c r="B125" s="6">
        <v>229</v>
      </c>
      <c r="C125" s="7">
        <v>6.5</v>
      </c>
      <c r="D125" s="7">
        <v>5.07</v>
      </c>
      <c r="E125" s="7">
        <v>65</v>
      </c>
      <c r="F125" s="7">
        <v>878</v>
      </c>
      <c r="G125" s="7">
        <v>996</v>
      </c>
      <c r="H125" s="10">
        <v>62.5</v>
      </c>
      <c r="I125" s="11">
        <v>207000</v>
      </c>
      <c r="J125" s="12">
        <v>32</v>
      </c>
    </row>
    <row r="126" spans="1:10" x14ac:dyDescent="0.2">
      <c r="A126" s="1">
        <f t="shared" si="1"/>
        <v>125</v>
      </c>
      <c r="B126" s="6">
        <v>178</v>
      </c>
      <c r="C126" s="7">
        <v>5.53</v>
      </c>
      <c r="D126" s="7">
        <v>2.7871199999999998</v>
      </c>
      <c r="E126" s="7">
        <v>55.853000000000002</v>
      </c>
      <c r="F126" s="7">
        <v>541</v>
      </c>
      <c r="G126" s="7">
        <v>826</v>
      </c>
      <c r="H126" s="10">
        <v>13.95</v>
      </c>
      <c r="I126" s="11">
        <v>207000</v>
      </c>
      <c r="J126" s="12">
        <v>32.1</v>
      </c>
    </row>
    <row r="127" spans="1:10" x14ac:dyDescent="0.2">
      <c r="A127" s="1">
        <f t="shared" si="1"/>
        <v>126</v>
      </c>
      <c r="B127" s="6">
        <v>230</v>
      </c>
      <c r="C127" s="7">
        <v>7.5</v>
      </c>
      <c r="D127" s="7">
        <v>5.625</v>
      </c>
      <c r="E127" s="7">
        <v>75</v>
      </c>
      <c r="F127" s="7">
        <v>835</v>
      </c>
      <c r="G127" s="7">
        <v>966</v>
      </c>
      <c r="H127" s="10">
        <v>41</v>
      </c>
      <c r="I127" s="11">
        <v>207000</v>
      </c>
      <c r="J127" s="12">
        <v>32.299999999999997</v>
      </c>
    </row>
    <row r="128" spans="1:10" x14ac:dyDescent="0.2">
      <c r="A128" s="1">
        <f t="shared" si="1"/>
        <v>127</v>
      </c>
      <c r="B128" s="6">
        <v>178</v>
      </c>
      <c r="C128" s="7">
        <v>5.58</v>
      </c>
      <c r="D128" s="7">
        <v>3.9562200000000001</v>
      </c>
      <c r="E128" s="7">
        <v>42.408000000000001</v>
      </c>
      <c r="F128" s="7">
        <v>584</v>
      </c>
      <c r="G128" s="7">
        <v>817</v>
      </c>
      <c r="H128" s="10">
        <v>14.4</v>
      </c>
      <c r="I128" s="11">
        <v>207000</v>
      </c>
      <c r="J128" s="12">
        <v>32.4</v>
      </c>
    </row>
    <row r="129" spans="1:10" x14ac:dyDescent="0.2">
      <c r="A129" s="1">
        <f t="shared" si="1"/>
        <v>128</v>
      </c>
      <c r="B129" s="6">
        <v>203</v>
      </c>
      <c r="C129" s="7">
        <v>6.8</v>
      </c>
      <c r="D129" s="7">
        <v>5.032</v>
      </c>
      <c r="E129" s="7">
        <v>68</v>
      </c>
      <c r="F129" s="7">
        <v>850</v>
      </c>
      <c r="G129" s="7">
        <v>960</v>
      </c>
      <c r="H129" s="10">
        <v>36</v>
      </c>
      <c r="I129" s="11">
        <v>207000</v>
      </c>
      <c r="J129" s="12">
        <v>32.5</v>
      </c>
    </row>
    <row r="130" spans="1:10" x14ac:dyDescent="0.2">
      <c r="A130" s="1">
        <f t="shared" si="1"/>
        <v>129</v>
      </c>
      <c r="B130" s="6">
        <v>178</v>
      </c>
      <c r="C130" s="7">
        <v>5.35</v>
      </c>
      <c r="D130" s="7">
        <v>2.71245</v>
      </c>
      <c r="E130" s="7">
        <v>40.659999999999997</v>
      </c>
      <c r="F130" s="7">
        <v>570</v>
      </c>
      <c r="G130" s="7">
        <v>776</v>
      </c>
      <c r="H130" s="10">
        <v>12.6</v>
      </c>
      <c r="I130" s="11">
        <v>207000</v>
      </c>
      <c r="J130" s="12">
        <v>32.799999999999997</v>
      </c>
    </row>
    <row r="131" spans="1:10" x14ac:dyDescent="0.2">
      <c r="A131" s="1">
        <f t="shared" ref="A131:A181" si="2">ROW()-1</f>
        <v>130</v>
      </c>
      <c r="B131" s="6">
        <v>203</v>
      </c>
      <c r="C131" s="7">
        <v>6.4</v>
      </c>
      <c r="D131" s="7">
        <v>4.8</v>
      </c>
      <c r="E131" s="7">
        <v>64</v>
      </c>
      <c r="F131" s="7">
        <v>852</v>
      </c>
      <c r="G131" s="7">
        <v>964</v>
      </c>
      <c r="H131" s="10">
        <v>64</v>
      </c>
      <c r="I131" s="11">
        <v>207000</v>
      </c>
      <c r="J131" s="12">
        <v>32.799999999999997</v>
      </c>
    </row>
    <row r="132" spans="1:10" x14ac:dyDescent="0.2">
      <c r="A132" s="1">
        <f t="shared" si="2"/>
        <v>131</v>
      </c>
      <c r="B132" s="6">
        <v>229</v>
      </c>
      <c r="C132" s="7">
        <v>6.7</v>
      </c>
      <c r="D132" s="7">
        <v>5.0250000000000004</v>
      </c>
      <c r="E132" s="7">
        <v>67</v>
      </c>
      <c r="F132" s="7">
        <v>878</v>
      </c>
      <c r="G132" s="7">
        <v>996</v>
      </c>
      <c r="H132" s="10">
        <v>62.5</v>
      </c>
      <c r="I132" s="11">
        <v>207000</v>
      </c>
      <c r="J132" s="12">
        <v>33</v>
      </c>
    </row>
    <row r="133" spans="1:10" x14ac:dyDescent="0.2">
      <c r="A133" s="1">
        <f t="shared" si="2"/>
        <v>132</v>
      </c>
      <c r="B133" s="6">
        <v>178</v>
      </c>
      <c r="C133" s="7">
        <v>5.48</v>
      </c>
      <c r="D133" s="7">
        <v>3.2167599999999998</v>
      </c>
      <c r="E133" s="7">
        <v>40.552</v>
      </c>
      <c r="F133" s="7">
        <v>577</v>
      </c>
      <c r="G133" s="7">
        <v>774</v>
      </c>
      <c r="H133" s="10">
        <v>14.4</v>
      </c>
      <c r="I133" s="11">
        <v>207000</v>
      </c>
      <c r="J133" s="12">
        <v>33.1</v>
      </c>
    </row>
    <row r="134" spans="1:10" x14ac:dyDescent="0.2">
      <c r="A134" s="1">
        <f t="shared" si="2"/>
        <v>133</v>
      </c>
      <c r="B134" s="6">
        <v>230</v>
      </c>
      <c r="C134" s="7">
        <v>6.8</v>
      </c>
      <c r="D134" s="7">
        <v>5.0999999999999996</v>
      </c>
      <c r="E134" s="7">
        <v>68</v>
      </c>
      <c r="F134" s="7">
        <v>835</v>
      </c>
      <c r="G134" s="7">
        <v>966</v>
      </c>
      <c r="H134" s="10">
        <v>41</v>
      </c>
      <c r="I134" s="11">
        <v>207000</v>
      </c>
      <c r="J134" s="12">
        <v>33.200000000000003</v>
      </c>
    </row>
    <row r="135" spans="1:10" x14ac:dyDescent="0.2">
      <c r="A135" s="1">
        <f t="shared" si="2"/>
        <v>134</v>
      </c>
      <c r="B135" s="6">
        <v>230</v>
      </c>
      <c r="C135" s="7">
        <v>7.5</v>
      </c>
      <c r="D135" s="7">
        <v>5.625</v>
      </c>
      <c r="E135" s="7">
        <v>75</v>
      </c>
      <c r="F135" s="7">
        <v>835</v>
      </c>
      <c r="G135" s="7">
        <v>966</v>
      </c>
      <c r="H135" s="10">
        <v>41</v>
      </c>
      <c r="I135" s="11">
        <v>207000</v>
      </c>
      <c r="J135" s="12">
        <v>33.299999999999997</v>
      </c>
    </row>
    <row r="136" spans="1:10" x14ac:dyDescent="0.2">
      <c r="A136" s="1">
        <f t="shared" si="2"/>
        <v>135</v>
      </c>
      <c r="B136" s="6">
        <v>191</v>
      </c>
      <c r="C136" s="7">
        <v>6.5</v>
      </c>
      <c r="D136" s="7">
        <v>5.5250000000000004</v>
      </c>
      <c r="E136" s="7">
        <v>65</v>
      </c>
      <c r="F136" s="7">
        <v>842</v>
      </c>
      <c r="G136" s="7">
        <v>962</v>
      </c>
      <c r="H136" s="10">
        <v>30.8</v>
      </c>
      <c r="I136" s="11">
        <v>207000</v>
      </c>
      <c r="J136" s="12">
        <v>33.299999999999997</v>
      </c>
    </row>
    <row r="137" spans="1:10" x14ac:dyDescent="0.2">
      <c r="A137" s="1">
        <f t="shared" si="2"/>
        <v>136</v>
      </c>
      <c r="B137" s="6">
        <v>191</v>
      </c>
      <c r="C137" s="7">
        <v>6.5</v>
      </c>
      <c r="D137" s="7">
        <v>5.5250000000000004</v>
      </c>
      <c r="E137" s="7">
        <v>65</v>
      </c>
      <c r="F137" s="7">
        <v>842</v>
      </c>
      <c r="G137" s="7">
        <v>962</v>
      </c>
      <c r="H137" s="10">
        <v>30.8</v>
      </c>
      <c r="I137" s="11">
        <v>207000</v>
      </c>
      <c r="J137" s="12">
        <v>33.299999999999997</v>
      </c>
    </row>
    <row r="138" spans="1:10" x14ac:dyDescent="0.2">
      <c r="A138" s="1">
        <f t="shared" si="2"/>
        <v>137</v>
      </c>
      <c r="B138" s="6">
        <v>88.9</v>
      </c>
      <c r="C138" s="7">
        <v>4</v>
      </c>
      <c r="D138" s="7">
        <v>1.1000000000000001</v>
      </c>
      <c r="E138" s="7">
        <v>66</v>
      </c>
      <c r="F138" s="7">
        <v>336</v>
      </c>
      <c r="G138" s="7">
        <v>486</v>
      </c>
      <c r="H138" s="10">
        <v>76</v>
      </c>
      <c r="I138" s="11">
        <v>207000</v>
      </c>
      <c r="J138" s="12">
        <v>33.4</v>
      </c>
    </row>
    <row r="139" spans="1:10" x14ac:dyDescent="0.2">
      <c r="A139" s="1">
        <f t="shared" si="2"/>
        <v>138</v>
      </c>
      <c r="B139" s="6">
        <v>565.6</v>
      </c>
      <c r="C139" s="7">
        <v>17.8</v>
      </c>
      <c r="D139" s="7">
        <v>15.8</v>
      </c>
      <c r="E139" s="7">
        <v>150</v>
      </c>
      <c r="F139" s="7">
        <v>751</v>
      </c>
      <c r="G139" s="7">
        <v>886</v>
      </c>
      <c r="H139" s="10">
        <v>79</v>
      </c>
      <c r="I139" s="11">
        <v>207000</v>
      </c>
      <c r="J139" s="12">
        <v>33.4</v>
      </c>
    </row>
    <row r="140" spans="1:10" x14ac:dyDescent="0.2">
      <c r="A140" s="1">
        <f t="shared" si="2"/>
        <v>139</v>
      </c>
      <c r="B140" s="6">
        <v>88.9</v>
      </c>
      <c r="C140" s="7">
        <v>4</v>
      </c>
      <c r="D140" s="7">
        <v>2.2999999999999998</v>
      </c>
      <c r="E140" s="7">
        <v>27</v>
      </c>
      <c r="F140" s="7">
        <v>336</v>
      </c>
      <c r="G140" s="7">
        <v>486</v>
      </c>
      <c r="H140" s="10">
        <v>76</v>
      </c>
      <c r="I140" s="11">
        <v>207000</v>
      </c>
      <c r="J140" s="12">
        <v>33.6</v>
      </c>
    </row>
    <row r="141" spans="1:10" x14ac:dyDescent="0.2">
      <c r="A141" s="1">
        <f t="shared" si="2"/>
        <v>140</v>
      </c>
      <c r="B141" s="6">
        <v>230</v>
      </c>
      <c r="C141" s="7">
        <v>7.4</v>
      </c>
      <c r="D141" s="7">
        <v>5.18</v>
      </c>
      <c r="E141" s="7">
        <v>74</v>
      </c>
      <c r="F141" s="7">
        <v>835</v>
      </c>
      <c r="G141" s="7">
        <v>966</v>
      </c>
      <c r="H141" s="10">
        <v>41</v>
      </c>
      <c r="I141" s="11">
        <v>207000</v>
      </c>
      <c r="J141" s="12">
        <v>33.799999999999997</v>
      </c>
    </row>
    <row r="142" spans="1:10" x14ac:dyDescent="0.2">
      <c r="A142" s="1">
        <f t="shared" si="2"/>
        <v>141</v>
      </c>
      <c r="B142" s="6">
        <v>229</v>
      </c>
      <c r="C142" s="7">
        <v>6.8</v>
      </c>
      <c r="D142" s="7">
        <v>5.0999999999999996</v>
      </c>
      <c r="E142" s="7">
        <v>68</v>
      </c>
      <c r="F142" s="7">
        <v>887</v>
      </c>
      <c r="G142" s="7">
        <v>989</v>
      </c>
      <c r="H142" s="10">
        <v>62.5</v>
      </c>
      <c r="I142" s="11">
        <v>207000</v>
      </c>
      <c r="J142" s="12">
        <v>34</v>
      </c>
    </row>
    <row r="143" spans="1:10" x14ac:dyDescent="0.2">
      <c r="A143" s="1">
        <f t="shared" si="2"/>
        <v>142</v>
      </c>
      <c r="B143" s="6">
        <v>229</v>
      </c>
      <c r="C143" s="7">
        <v>6.7</v>
      </c>
      <c r="D143" s="7">
        <v>5.0250000000000004</v>
      </c>
      <c r="E143" s="7">
        <v>67</v>
      </c>
      <c r="F143" s="7">
        <v>867</v>
      </c>
      <c r="G143" s="7">
        <v>982</v>
      </c>
      <c r="H143" s="10">
        <v>62.5</v>
      </c>
      <c r="I143" s="11">
        <v>207000</v>
      </c>
      <c r="J143" s="12">
        <v>34</v>
      </c>
    </row>
    <row r="144" spans="1:10" x14ac:dyDescent="0.2">
      <c r="A144" s="1">
        <f t="shared" si="2"/>
        <v>143</v>
      </c>
      <c r="B144" s="6">
        <v>203</v>
      </c>
      <c r="C144" s="7">
        <v>6.5</v>
      </c>
      <c r="D144" s="7">
        <v>5.2</v>
      </c>
      <c r="E144" s="7">
        <v>65</v>
      </c>
      <c r="F144" s="7">
        <v>852</v>
      </c>
      <c r="G144" s="7">
        <v>964</v>
      </c>
      <c r="H144" s="10">
        <v>64</v>
      </c>
      <c r="I144" s="11">
        <v>207000</v>
      </c>
      <c r="J144" s="12">
        <v>34</v>
      </c>
    </row>
    <row r="145" spans="1:10" x14ac:dyDescent="0.2">
      <c r="A145" s="1">
        <f t="shared" si="2"/>
        <v>144</v>
      </c>
      <c r="B145" s="6">
        <v>88.9</v>
      </c>
      <c r="C145" s="7">
        <v>4</v>
      </c>
      <c r="D145" s="7">
        <v>1</v>
      </c>
      <c r="E145" s="7">
        <v>116</v>
      </c>
      <c r="F145" s="7">
        <v>336</v>
      </c>
      <c r="G145" s="7">
        <v>486</v>
      </c>
      <c r="H145" s="10">
        <v>76</v>
      </c>
      <c r="I145" s="11">
        <v>207000</v>
      </c>
      <c r="J145" s="12">
        <v>34.299999999999997</v>
      </c>
    </row>
    <row r="146" spans="1:10" x14ac:dyDescent="0.2">
      <c r="A146" s="1">
        <f t="shared" si="2"/>
        <v>145</v>
      </c>
      <c r="B146" s="6">
        <v>203</v>
      </c>
      <c r="C146" s="7">
        <v>6.6</v>
      </c>
      <c r="D146" s="7">
        <v>4.95</v>
      </c>
      <c r="E146" s="7">
        <v>66</v>
      </c>
      <c r="F146" s="7">
        <v>852</v>
      </c>
      <c r="G146" s="7">
        <v>964</v>
      </c>
      <c r="H146" s="10">
        <v>64</v>
      </c>
      <c r="I146" s="11">
        <v>207000</v>
      </c>
      <c r="J146" s="12">
        <v>34.5</v>
      </c>
    </row>
    <row r="147" spans="1:10" x14ac:dyDescent="0.2">
      <c r="A147" s="1">
        <f t="shared" si="2"/>
        <v>146</v>
      </c>
      <c r="B147" s="6">
        <v>229</v>
      </c>
      <c r="C147" s="7">
        <v>6.8</v>
      </c>
      <c r="D147" s="7">
        <v>5.0999999999999996</v>
      </c>
      <c r="E147" s="7">
        <v>68</v>
      </c>
      <c r="F147" s="7">
        <v>878</v>
      </c>
      <c r="G147" s="7">
        <v>996</v>
      </c>
      <c r="H147" s="10">
        <v>62.5</v>
      </c>
      <c r="I147" s="11">
        <v>207000</v>
      </c>
      <c r="J147" s="12">
        <v>34.799999999999997</v>
      </c>
    </row>
    <row r="148" spans="1:10" x14ac:dyDescent="0.2">
      <c r="A148" s="1">
        <f t="shared" si="2"/>
        <v>147</v>
      </c>
      <c r="B148" s="6">
        <v>203</v>
      </c>
      <c r="C148" s="7">
        <v>6.7</v>
      </c>
      <c r="D148" s="7">
        <v>5.36</v>
      </c>
      <c r="E148" s="7">
        <v>67</v>
      </c>
      <c r="F148" s="7">
        <v>852</v>
      </c>
      <c r="G148" s="7">
        <v>964</v>
      </c>
      <c r="H148" s="10">
        <v>64</v>
      </c>
      <c r="I148" s="11">
        <v>207000</v>
      </c>
      <c r="J148" s="12">
        <v>35</v>
      </c>
    </row>
    <row r="149" spans="1:10" x14ac:dyDescent="0.2">
      <c r="A149" s="1">
        <f t="shared" si="2"/>
        <v>148</v>
      </c>
      <c r="B149" s="6">
        <v>203</v>
      </c>
      <c r="C149" s="7">
        <v>6.5</v>
      </c>
      <c r="D149" s="7">
        <v>5.07</v>
      </c>
      <c r="E149" s="7">
        <v>65</v>
      </c>
      <c r="F149" s="7">
        <v>852</v>
      </c>
      <c r="G149" s="7">
        <v>964</v>
      </c>
      <c r="H149" s="10">
        <v>64</v>
      </c>
      <c r="I149" s="11">
        <v>207000</v>
      </c>
      <c r="J149" s="12">
        <v>35</v>
      </c>
    </row>
    <row r="150" spans="1:10" x14ac:dyDescent="0.2">
      <c r="A150" s="1">
        <f t="shared" si="2"/>
        <v>149</v>
      </c>
      <c r="B150" s="6">
        <v>191</v>
      </c>
      <c r="C150" s="7">
        <v>6.3</v>
      </c>
      <c r="D150" s="7">
        <v>5.4180000000000001</v>
      </c>
      <c r="E150" s="7">
        <v>63</v>
      </c>
      <c r="F150" s="7">
        <v>969</v>
      </c>
      <c r="G150" s="7">
        <v>1067</v>
      </c>
      <c r="H150" s="10">
        <v>22.4</v>
      </c>
      <c r="I150" s="11">
        <v>207000</v>
      </c>
      <c r="J150" s="12">
        <v>35.299999999999997</v>
      </c>
    </row>
    <row r="151" spans="1:10" x14ac:dyDescent="0.2">
      <c r="A151" s="1">
        <f t="shared" si="2"/>
        <v>150</v>
      </c>
      <c r="B151" s="6">
        <v>229</v>
      </c>
      <c r="C151" s="7">
        <v>6.8</v>
      </c>
      <c r="D151" s="7">
        <v>4.8959999999999999</v>
      </c>
      <c r="E151" s="7">
        <v>68</v>
      </c>
      <c r="F151" s="7">
        <v>878</v>
      </c>
      <c r="G151" s="7">
        <v>996</v>
      </c>
      <c r="H151" s="10">
        <v>62.5</v>
      </c>
      <c r="I151" s="11">
        <v>207000</v>
      </c>
      <c r="J151" s="12">
        <v>35.5</v>
      </c>
    </row>
    <row r="152" spans="1:10" x14ac:dyDescent="0.2">
      <c r="A152" s="1">
        <f t="shared" si="2"/>
        <v>151</v>
      </c>
      <c r="B152" s="6">
        <v>230</v>
      </c>
      <c r="C152" s="7">
        <v>7.4</v>
      </c>
      <c r="D152" s="7">
        <v>5.18</v>
      </c>
      <c r="E152" s="7">
        <v>74</v>
      </c>
      <c r="F152" s="7">
        <v>835</v>
      </c>
      <c r="G152" s="7">
        <v>966</v>
      </c>
      <c r="H152" s="10">
        <v>41</v>
      </c>
      <c r="I152" s="11">
        <v>207000</v>
      </c>
      <c r="J152" s="12">
        <v>35.6</v>
      </c>
    </row>
    <row r="153" spans="1:10" x14ac:dyDescent="0.2">
      <c r="A153" s="1">
        <f t="shared" si="2"/>
        <v>152</v>
      </c>
      <c r="B153" s="6">
        <v>203</v>
      </c>
      <c r="C153" s="7">
        <v>6.5</v>
      </c>
      <c r="D153" s="7">
        <v>4.875</v>
      </c>
      <c r="E153" s="7">
        <v>65</v>
      </c>
      <c r="F153" s="7">
        <v>852</v>
      </c>
      <c r="G153" s="7">
        <v>964</v>
      </c>
      <c r="H153" s="10">
        <v>64</v>
      </c>
      <c r="I153" s="11">
        <v>207000</v>
      </c>
      <c r="J153" s="12">
        <v>35.700000000000003</v>
      </c>
    </row>
    <row r="154" spans="1:10" x14ac:dyDescent="0.2">
      <c r="A154" s="1">
        <f t="shared" si="2"/>
        <v>153</v>
      </c>
      <c r="B154" s="6">
        <v>88.9</v>
      </c>
      <c r="C154" s="7">
        <v>4</v>
      </c>
      <c r="D154" s="7">
        <v>2</v>
      </c>
      <c r="E154" s="7">
        <v>20</v>
      </c>
      <c r="F154" s="7">
        <v>336</v>
      </c>
      <c r="G154" s="7">
        <v>486</v>
      </c>
      <c r="H154" s="10">
        <v>76</v>
      </c>
      <c r="I154" s="11">
        <v>207000</v>
      </c>
      <c r="J154" s="12">
        <v>36</v>
      </c>
    </row>
    <row r="155" spans="1:10" x14ac:dyDescent="0.2">
      <c r="A155" s="1">
        <f t="shared" si="2"/>
        <v>154</v>
      </c>
      <c r="B155" s="6">
        <v>203</v>
      </c>
      <c r="C155" s="7">
        <v>6.6</v>
      </c>
      <c r="D155" s="7">
        <v>4.95</v>
      </c>
      <c r="E155" s="7">
        <v>66</v>
      </c>
      <c r="F155" s="7">
        <v>850</v>
      </c>
      <c r="G155" s="7">
        <v>960</v>
      </c>
      <c r="H155" s="10">
        <v>36</v>
      </c>
      <c r="I155" s="11">
        <v>207000</v>
      </c>
      <c r="J155" s="12">
        <v>36</v>
      </c>
    </row>
    <row r="156" spans="1:10" x14ac:dyDescent="0.2">
      <c r="A156" s="1">
        <f t="shared" si="2"/>
        <v>155</v>
      </c>
      <c r="B156" s="6">
        <v>203</v>
      </c>
      <c r="C156" s="7">
        <v>6.9</v>
      </c>
      <c r="D156" s="7">
        <v>4.7610000000000001</v>
      </c>
      <c r="E156" s="7">
        <v>69</v>
      </c>
      <c r="F156" s="7">
        <v>850</v>
      </c>
      <c r="G156" s="7">
        <v>960</v>
      </c>
      <c r="H156" s="10">
        <v>36</v>
      </c>
      <c r="I156" s="11">
        <v>207000</v>
      </c>
      <c r="J156" s="12">
        <v>36.5</v>
      </c>
    </row>
    <row r="157" spans="1:10" x14ac:dyDescent="0.2">
      <c r="A157" s="1">
        <f t="shared" si="2"/>
        <v>156</v>
      </c>
      <c r="B157" s="6">
        <v>229</v>
      </c>
      <c r="C157" s="7">
        <v>6.8</v>
      </c>
      <c r="D157" s="7">
        <v>4.76</v>
      </c>
      <c r="E157" s="7">
        <v>68</v>
      </c>
      <c r="F157" s="7">
        <v>878</v>
      </c>
      <c r="G157" s="7">
        <v>996</v>
      </c>
      <c r="H157" s="10">
        <v>62.5</v>
      </c>
      <c r="I157" s="11">
        <v>207000</v>
      </c>
      <c r="J157" s="12">
        <v>36.700000000000003</v>
      </c>
    </row>
    <row r="158" spans="1:10" x14ac:dyDescent="0.2">
      <c r="A158" s="1">
        <f t="shared" si="2"/>
        <v>157</v>
      </c>
      <c r="B158" s="6">
        <v>229</v>
      </c>
      <c r="C158" s="7">
        <v>6.8</v>
      </c>
      <c r="D158" s="7">
        <v>4.76</v>
      </c>
      <c r="E158" s="7">
        <v>68</v>
      </c>
      <c r="F158" s="7">
        <v>878</v>
      </c>
      <c r="G158" s="7">
        <v>996</v>
      </c>
      <c r="H158" s="10">
        <v>62.5</v>
      </c>
      <c r="I158" s="11">
        <v>207000</v>
      </c>
      <c r="J158" s="12">
        <v>36.700000000000003</v>
      </c>
    </row>
    <row r="159" spans="1:10" x14ac:dyDescent="0.2">
      <c r="A159" s="1">
        <f t="shared" si="2"/>
        <v>158</v>
      </c>
      <c r="B159" s="6">
        <v>229</v>
      </c>
      <c r="C159" s="7">
        <v>6.7</v>
      </c>
      <c r="D159" s="7">
        <v>4.6900000000000004</v>
      </c>
      <c r="E159" s="7">
        <v>67</v>
      </c>
      <c r="F159" s="7">
        <v>878</v>
      </c>
      <c r="G159" s="7">
        <v>996</v>
      </c>
      <c r="H159" s="10">
        <v>62.5</v>
      </c>
      <c r="I159" s="11">
        <v>207000</v>
      </c>
      <c r="J159" s="12">
        <v>36.799999999999997</v>
      </c>
    </row>
    <row r="160" spans="1:10" x14ac:dyDescent="0.2">
      <c r="A160" s="1">
        <f t="shared" si="2"/>
        <v>159</v>
      </c>
      <c r="B160" s="6">
        <v>229</v>
      </c>
      <c r="C160" s="7">
        <v>6.8</v>
      </c>
      <c r="D160" s="7">
        <v>4.76</v>
      </c>
      <c r="E160" s="7">
        <v>68</v>
      </c>
      <c r="F160" s="7">
        <v>878</v>
      </c>
      <c r="G160" s="7">
        <v>996</v>
      </c>
      <c r="H160" s="10">
        <v>62.5</v>
      </c>
      <c r="I160" s="11">
        <v>207000</v>
      </c>
      <c r="J160" s="12">
        <v>37</v>
      </c>
    </row>
    <row r="161" spans="1:10" x14ac:dyDescent="0.2">
      <c r="A161" s="1">
        <f t="shared" si="2"/>
        <v>160</v>
      </c>
      <c r="B161" s="6">
        <v>203</v>
      </c>
      <c r="C161" s="7">
        <v>6.7</v>
      </c>
      <c r="D161" s="7">
        <v>5.0250000000000004</v>
      </c>
      <c r="E161" s="7">
        <v>67</v>
      </c>
      <c r="F161" s="7">
        <v>852</v>
      </c>
      <c r="G161" s="7">
        <v>964</v>
      </c>
      <c r="H161" s="10">
        <v>64</v>
      </c>
      <c r="I161" s="11">
        <v>207000</v>
      </c>
      <c r="J161" s="12">
        <v>37</v>
      </c>
    </row>
    <row r="162" spans="1:10" x14ac:dyDescent="0.2">
      <c r="A162" s="1">
        <f t="shared" si="2"/>
        <v>161</v>
      </c>
      <c r="B162" s="6">
        <v>203</v>
      </c>
      <c r="C162" s="7">
        <v>6.7</v>
      </c>
      <c r="D162" s="7">
        <v>5.0250000000000004</v>
      </c>
      <c r="E162" s="7">
        <v>67</v>
      </c>
      <c r="F162" s="7">
        <v>852</v>
      </c>
      <c r="G162" s="7">
        <v>964</v>
      </c>
      <c r="H162" s="10">
        <v>64</v>
      </c>
      <c r="I162" s="11">
        <v>207000</v>
      </c>
      <c r="J162" s="12">
        <v>37</v>
      </c>
    </row>
    <row r="163" spans="1:10" x14ac:dyDescent="0.2">
      <c r="A163" s="1">
        <f t="shared" si="2"/>
        <v>162</v>
      </c>
      <c r="B163" s="6">
        <v>565.4</v>
      </c>
      <c r="C163" s="7">
        <v>17.7</v>
      </c>
      <c r="D163" s="7">
        <v>9</v>
      </c>
      <c r="E163" s="7">
        <v>215</v>
      </c>
      <c r="F163" s="7">
        <v>830</v>
      </c>
      <c r="G163" s="7">
        <v>984</v>
      </c>
      <c r="H163" s="10">
        <v>65</v>
      </c>
      <c r="I163" s="11">
        <v>207000</v>
      </c>
      <c r="J163" s="12">
        <v>37.299999999999997</v>
      </c>
    </row>
    <row r="164" spans="1:10" x14ac:dyDescent="0.2">
      <c r="A164" s="1">
        <f t="shared" si="2"/>
        <v>163</v>
      </c>
      <c r="B164" s="6">
        <v>203</v>
      </c>
      <c r="C164" s="7">
        <v>6.5</v>
      </c>
      <c r="D164" s="7">
        <v>4.55</v>
      </c>
      <c r="E164" s="7">
        <v>65</v>
      </c>
      <c r="F164" s="7">
        <v>850</v>
      </c>
      <c r="G164" s="7">
        <v>960</v>
      </c>
      <c r="H164" s="10">
        <v>36</v>
      </c>
      <c r="I164" s="11">
        <v>207000</v>
      </c>
      <c r="J164" s="12">
        <v>37.6</v>
      </c>
    </row>
    <row r="165" spans="1:10" x14ac:dyDescent="0.2">
      <c r="A165" s="1">
        <f t="shared" si="2"/>
        <v>164</v>
      </c>
      <c r="B165" s="6">
        <v>229</v>
      </c>
      <c r="C165" s="7">
        <v>6.8</v>
      </c>
      <c r="D165" s="7">
        <v>4.42</v>
      </c>
      <c r="E165" s="7">
        <v>68</v>
      </c>
      <c r="F165" s="7">
        <v>878</v>
      </c>
      <c r="G165" s="7">
        <v>996</v>
      </c>
      <c r="H165" s="10">
        <v>62.5</v>
      </c>
      <c r="I165" s="11">
        <v>207000</v>
      </c>
      <c r="J165" s="12">
        <v>38</v>
      </c>
    </row>
    <row r="166" spans="1:10" x14ac:dyDescent="0.2">
      <c r="A166" s="1">
        <f t="shared" si="2"/>
        <v>165</v>
      </c>
      <c r="B166" s="6">
        <v>203</v>
      </c>
      <c r="C166" s="7">
        <v>6.6</v>
      </c>
      <c r="D166" s="7">
        <v>4.62</v>
      </c>
      <c r="E166" s="7">
        <v>66</v>
      </c>
      <c r="F166" s="7">
        <v>852</v>
      </c>
      <c r="G166" s="7">
        <v>964</v>
      </c>
      <c r="H166" s="10">
        <v>64</v>
      </c>
      <c r="I166" s="11">
        <v>207000</v>
      </c>
      <c r="J166" s="12">
        <v>38.200000000000003</v>
      </c>
    </row>
    <row r="167" spans="1:10" x14ac:dyDescent="0.2">
      <c r="A167" s="1">
        <f t="shared" si="2"/>
        <v>166</v>
      </c>
      <c r="B167" s="6">
        <v>203</v>
      </c>
      <c r="C167" s="7">
        <v>6.8</v>
      </c>
      <c r="D167" s="7">
        <v>4.556</v>
      </c>
      <c r="E167" s="7">
        <v>68</v>
      </c>
      <c r="F167" s="7">
        <v>850</v>
      </c>
      <c r="G167" s="7">
        <v>960</v>
      </c>
      <c r="H167" s="10">
        <v>36</v>
      </c>
      <c r="I167" s="11">
        <v>207000</v>
      </c>
      <c r="J167" s="12">
        <v>38.200000000000003</v>
      </c>
    </row>
    <row r="168" spans="1:10" x14ac:dyDescent="0.2">
      <c r="A168" s="1">
        <f t="shared" si="2"/>
        <v>167</v>
      </c>
      <c r="B168" s="6">
        <v>203</v>
      </c>
      <c r="C168" s="7">
        <v>6.4</v>
      </c>
      <c r="D168" s="7">
        <v>4.4800000000000004</v>
      </c>
      <c r="E168" s="7">
        <v>64</v>
      </c>
      <c r="F168" s="7">
        <v>852</v>
      </c>
      <c r="G168" s="7">
        <v>964</v>
      </c>
      <c r="H168" s="10">
        <v>64</v>
      </c>
      <c r="I168" s="11">
        <v>207000</v>
      </c>
      <c r="J168" s="12">
        <v>38.5</v>
      </c>
    </row>
    <row r="169" spans="1:10" x14ac:dyDescent="0.2">
      <c r="A169" s="1">
        <f t="shared" si="2"/>
        <v>168</v>
      </c>
      <c r="B169" s="6">
        <v>203</v>
      </c>
      <c r="C169" s="7">
        <v>6.4</v>
      </c>
      <c r="D169" s="7">
        <v>4.6079999999999997</v>
      </c>
      <c r="E169" s="7">
        <v>64</v>
      </c>
      <c r="F169" s="7">
        <v>852</v>
      </c>
      <c r="G169" s="7">
        <v>964</v>
      </c>
      <c r="H169" s="10">
        <v>64</v>
      </c>
      <c r="I169" s="11">
        <v>207000</v>
      </c>
      <c r="J169" s="12">
        <v>38.5</v>
      </c>
    </row>
    <row r="170" spans="1:10" x14ac:dyDescent="0.2">
      <c r="A170" s="1">
        <f t="shared" si="2"/>
        <v>169</v>
      </c>
      <c r="B170" s="6">
        <v>203</v>
      </c>
      <c r="C170" s="7">
        <v>6.2</v>
      </c>
      <c r="D170" s="7">
        <v>4.34</v>
      </c>
      <c r="E170" s="7">
        <v>62</v>
      </c>
      <c r="F170" s="7">
        <v>852</v>
      </c>
      <c r="G170" s="7">
        <v>964</v>
      </c>
      <c r="H170" s="10">
        <v>64</v>
      </c>
      <c r="I170" s="11">
        <v>207000</v>
      </c>
      <c r="J170" s="12">
        <v>38.700000000000003</v>
      </c>
    </row>
    <row r="171" spans="1:10" x14ac:dyDescent="0.2">
      <c r="A171" s="1">
        <f t="shared" si="2"/>
        <v>170</v>
      </c>
      <c r="B171" s="6">
        <v>203</v>
      </c>
      <c r="C171" s="7">
        <v>6.7</v>
      </c>
      <c r="D171" s="7">
        <v>4.3550000000000004</v>
      </c>
      <c r="E171" s="7">
        <v>67</v>
      </c>
      <c r="F171" s="7">
        <v>852</v>
      </c>
      <c r="G171" s="7">
        <v>964</v>
      </c>
      <c r="H171" s="10">
        <v>64</v>
      </c>
      <c r="I171" s="11">
        <v>207000</v>
      </c>
      <c r="J171" s="12">
        <v>40</v>
      </c>
    </row>
    <row r="172" spans="1:10" x14ac:dyDescent="0.2">
      <c r="A172" s="1">
        <f t="shared" si="2"/>
        <v>171</v>
      </c>
      <c r="B172" s="6">
        <v>203</v>
      </c>
      <c r="C172" s="7">
        <v>6.8</v>
      </c>
      <c r="D172" s="7">
        <v>4.556</v>
      </c>
      <c r="E172" s="7">
        <v>68</v>
      </c>
      <c r="F172" s="7">
        <v>850</v>
      </c>
      <c r="G172" s="7">
        <v>960</v>
      </c>
      <c r="H172" s="10">
        <v>36</v>
      </c>
      <c r="I172" s="11">
        <v>207000</v>
      </c>
      <c r="J172" s="12">
        <v>40.5</v>
      </c>
    </row>
    <row r="173" spans="1:10" x14ac:dyDescent="0.2">
      <c r="A173" s="1">
        <f t="shared" si="2"/>
        <v>172</v>
      </c>
      <c r="B173" s="6">
        <v>564.79999999999995</v>
      </c>
      <c r="C173" s="7">
        <v>18.399999999999999</v>
      </c>
      <c r="D173" s="7">
        <v>14.7</v>
      </c>
      <c r="E173" s="7">
        <v>155</v>
      </c>
      <c r="F173" s="7">
        <v>853</v>
      </c>
      <c r="G173" s="7">
        <v>973</v>
      </c>
      <c r="H173" s="10">
        <v>75</v>
      </c>
      <c r="I173" s="11">
        <v>207000</v>
      </c>
      <c r="J173" s="12">
        <v>40.799999999999997</v>
      </c>
    </row>
    <row r="174" spans="1:10" x14ac:dyDescent="0.2">
      <c r="A174" s="1">
        <f t="shared" si="2"/>
        <v>173</v>
      </c>
      <c r="B174" s="6">
        <v>564</v>
      </c>
      <c r="C174" s="7">
        <v>18</v>
      </c>
      <c r="D174" s="7">
        <v>9.3000000000000007</v>
      </c>
      <c r="E174" s="7">
        <v>144</v>
      </c>
      <c r="F174" s="7">
        <v>778</v>
      </c>
      <c r="G174" s="7">
        <v>925</v>
      </c>
      <c r="H174" s="10">
        <v>59</v>
      </c>
      <c r="I174" s="11">
        <v>207000</v>
      </c>
      <c r="J174" s="12">
        <v>43</v>
      </c>
    </row>
    <row r="175" spans="1:10" x14ac:dyDescent="0.2">
      <c r="A175" s="1">
        <f t="shared" si="2"/>
        <v>174</v>
      </c>
      <c r="B175" s="6">
        <v>567</v>
      </c>
      <c r="C175" s="7">
        <v>18.5</v>
      </c>
      <c r="D175" s="7">
        <v>10.7</v>
      </c>
      <c r="E175" s="7">
        <v>143</v>
      </c>
      <c r="F175" s="7">
        <v>842</v>
      </c>
      <c r="G175" s="7">
        <v>985</v>
      </c>
      <c r="H175" s="10">
        <v>63</v>
      </c>
      <c r="I175" s="11">
        <v>207000</v>
      </c>
      <c r="J175" s="12">
        <v>44.7</v>
      </c>
    </row>
    <row r="176" spans="1:10" x14ac:dyDescent="0.2">
      <c r="A176" s="1">
        <f t="shared" si="2"/>
        <v>175</v>
      </c>
      <c r="B176" s="6">
        <v>565</v>
      </c>
      <c r="C176" s="7">
        <v>17.5</v>
      </c>
      <c r="D176" s="7">
        <v>13</v>
      </c>
      <c r="E176" s="7">
        <v>94</v>
      </c>
      <c r="F176" s="7">
        <v>859</v>
      </c>
      <c r="G176" s="7">
        <v>982</v>
      </c>
      <c r="H176" s="10">
        <v>77</v>
      </c>
      <c r="I176" s="11">
        <v>207000</v>
      </c>
      <c r="J176" s="12">
        <v>46.2</v>
      </c>
    </row>
    <row r="177" spans="1:10" x14ac:dyDescent="0.2">
      <c r="A177" s="1">
        <f t="shared" si="2"/>
        <v>176</v>
      </c>
      <c r="B177" s="6">
        <v>565.20000000000005</v>
      </c>
      <c r="C177" s="7">
        <v>17.600000000000001</v>
      </c>
      <c r="D177" s="7">
        <v>14.6</v>
      </c>
      <c r="E177" s="7">
        <v>64.599999999999994</v>
      </c>
      <c r="F177" s="7">
        <v>813</v>
      </c>
      <c r="G177" s="7">
        <v>944</v>
      </c>
      <c r="H177" s="10">
        <v>59</v>
      </c>
      <c r="I177" s="11">
        <v>207000</v>
      </c>
      <c r="J177" s="12">
        <v>48.7</v>
      </c>
    </row>
    <row r="178" spans="1:10" x14ac:dyDescent="0.2">
      <c r="A178" s="1">
        <f t="shared" si="2"/>
        <v>177</v>
      </c>
      <c r="B178" s="6">
        <v>565.6</v>
      </c>
      <c r="C178" s="7">
        <v>17.8</v>
      </c>
      <c r="D178" s="7">
        <v>10</v>
      </c>
      <c r="E178" s="7">
        <v>142</v>
      </c>
      <c r="F178" s="7">
        <v>726</v>
      </c>
      <c r="G178" s="7">
        <v>879</v>
      </c>
      <c r="H178" s="10">
        <v>81</v>
      </c>
      <c r="I178" s="11">
        <v>207000</v>
      </c>
      <c r="J178" s="12">
        <v>49</v>
      </c>
    </row>
    <row r="179" spans="1:10" x14ac:dyDescent="0.2">
      <c r="A179" s="1">
        <f t="shared" si="2"/>
        <v>178</v>
      </c>
      <c r="B179" s="6">
        <v>564.79999999999995</v>
      </c>
      <c r="C179" s="7">
        <v>20.399999999999999</v>
      </c>
      <c r="D179" s="7">
        <v>16.100000000000001</v>
      </c>
      <c r="E179" s="7">
        <v>96</v>
      </c>
      <c r="F179" s="7">
        <v>878</v>
      </c>
      <c r="G179" s="7">
        <v>990</v>
      </c>
      <c r="H179" s="10">
        <v>64</v>
      </c>
      <c r="I179" s="11">
        <v>207000</v>
      </c>
      <c r="J179" s="12">
        <v>50</v>
      </c>
    </row>
    <row r="180" spans="1:10" x14ac:dyDescent="0.2">
      <c r="A180" s="1">
        <f t="shared" si="2"/>
        <v>179</v>
      </c>
      <c r="B180" s="6">
        <v>565.4</v>
      </c>
      <c r="C180" s="7">
        <v>21.7</v>
      </c>
      <c r="D180" s="7">
        <v>14.5</v>
      </c>
      <c r="E180" s="7">
        <v>65</v>
      </c>
      <c r="F180" s="7">
        <v>866</v>
      </c>
      <c r="G180" s="7">
        <v>979</v>
      </c>
      <c r="H180" s="10">
        <v>65</v>
      </c>
      <c r="I180" s="11">
        <v>207000</v>
      </c>
      <c r="J180" s="12">
        <v>55.5</v>
      </c>
    </row>
    <row r="181" spans="1:10" x14ac:dyDescent="0.2">
      <c r="A181" s="1">
        <f t="shared" si="2"/>
        <v>180</v>
      </c>
      <c r="B181" s="6">
        <v>565.4</v>
      </c>
      <c r="C181" s="7">
        <v>18.7</v>
      </c>
      <c r="D181" s="7">
        <v>13.5</v>
      </c>
      <c r="E181" s="7">
        <v>93</v>
      </c>
      <c r="F181" s="7">
        <v>843</v>
      </c>
      <c r="G181" s="7">
        <v>976</v>
      </c>
      <c r="H181" s="10">
        <v>76</v>
      </c>
      <c r="I181" s="11">
        <v>207000</v>
      </c>
      <c r="J181" s="12">
        <v>56.4</v>
      </c>
    </row>
    <row r="182" spans="1:10" x14ac:dyDescent="0.2">
      <c r="A182" s="1"/>
      <c r="B182" s="13"/>
      <c r="C182" s="14"/>
      <c r="D182" s="14"/>
      <c r="E182" s="14"/>
      <c r="F182" s="14"/>
      <c r="G182" s="14"/>
      <c r="H182" s="1"/>
      <c r="I182" s="15"/>
      <c r="J182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赫显</dc:creator>
  <cp:lastModifiedBy>赫显 王</cp:lastModifiedBy>
  <dcterms:created xsi:type="dcterms:W3CDTF">2024-04-21T11:39:03Z</dcterms:created>
  <dcterms:modified xsi:type="dcterms:W3CDTF">2025-02-11T13:26:53Z</dcterms:modified>
</cp:coreProperties>
</file>